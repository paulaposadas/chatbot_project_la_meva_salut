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onev\Desktop\"/>
    </mc:Choice>
  </mc:AlternateContent>
  <xr:revisionPtr revIDLastSave="0" documentId="13_ncr:1_{3C0DA4AF-EED9-4EED-BFF5-D76A04A874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aluación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0daqvw1nZcyLoy9fcZqsuxlZJi3/6H5ZLuf4NFrYtk="/>
    </ext>
  </extLst>
</workbook>
</file>

<file path=xl/calcChain.xml><?xml version="1.0" encoding="utf-8"?>
<calcChain xmlns="http://schemas.openxmlformats.org/spreadsheetml/2006/main">
  <c r="H45" i="2" l="1"/>
  <c r="G45" i="2"/>
  <c r="F45" i="2"/>
  <c r="E45" i="2"/>
  <c r="D45" i="2"/>
  <c r="H44" i="2"/>
  <c r="G44" i="2"/>
  <c r="F44" i="2"/>
  <c r="E44" i="2"/>
  <c r="D44" i="2"/>
  <c r="F43" i="2"/>
  <c r="E43" i="2"/>
  <c r="D43" i="2"/>
  <c r="F39" i="2"/>
  <c r="F37" i="2"/>
  <c r="F36" i="2"/>
  <c r="F33" i="2"/>
  <c r="E33" i="2"/>
  <c r="D33" i="2"/>
  <c r="C33" i="2"/>
  <c r="B33" i="2"/>
  <c r="A33" i="2"/>
  <c r="F32" i="2"/>
  <c r="E32" i="2"/>
  <c r="D32" i="2"/>
  <c r="C32" i="2"/>
  <c r="B32" i="2"/>
  <c r="A32" i="2"/>
  <c r="F31" i="2"/>
  <c r="E31" i="2"/>
  <c r="D31" i="2"/>
  <c r="C31" i="2"/>
  <c r="B31" i="2"/>
  <c r="A31" i="2"/>
  <c r="F30" i="2"/>
  <c r="E30" i="2"/>
  <c r="D30" i="2"/>
  <c r="C30" i="2"/>
  <c r="B30" i="2"/>
  <c r="A30" i="2"/>
  <c r="F29" i="2"/>
  <c r="E29" i="2"/>
  <c r="D29" i="2"/>
  <c r="C29" i="2"/>
  <c r="B29" i="2"/>
  <c r="A29" i="2"/>
  <c r="F28" i="2"/>
  <c r="E28" i="2"/>
  <c r="D28" i="2"/>
  <c r="C28" i="2"/>
  <c r="B28" i="2"/>
  <c r="A28" i="2"/>
  <c r="F27" i="2"/>
  <c r="E27" i="2"/>
  <c r="D27" i="2"/>
  <c r="C27" i="2"/>
  <c r="B27" i="2"/>
  <c r="A27" i="2"/>
  <c r="F26" i="2"/>
  <c r="E26" i="2"/>
  <c r="D26" i="2"/>
  <c r="C26" i="2"/>
  <c r="B26" i="2"/>
  <c r="A26" i="2"/>
  <c r="F25" i="2"/>
  <c r="E25" i="2"/>
  <c r="D25" i="2"/>
  <c r="C25" i="2"/>
  <c r="B25" i="2"/>
  <c r="A25" i="2"/>
  <c r="F24" i="2"/>
  <c r="E24" i="2"/>
  <c r="D24" i="2"/>
  <c r="C24" i="2"/>
  <c r="B24" i="2"/>
  <c r="A24" i="2"/>
  <c r="F23" i="2"/>
  <c r="E23" i="2"/>
  <c r="D23" i="2"/>
  <c r="C23" i="2"/>
  <c r="B23" i="2"/>
  <c r="A23" i="2"/>
  <c r="F22" i="2"/>
  <c r="E22" i="2"/>
  <c r="D22" i="2"/>
  <c r="C22" i="2"/>
  <c r="B22" i="2"/>
  <c r="A22" i="2"/>
  <c r="G18" i="2"/>
  <c r="E18" i="2"/>
  <c r="D18" i="2"/>
  <c r="C18" i="2"/>
  <c r="B18" i="2"/>
  <c r="H18" i="2" s="1"/>
  <c r="E17" i="2"/>
  <c r="D17" i="2"/>
  <c r="C17" i="2"/>
  <c r="B17" i="2"/>
  <c r="H17" i="2" s="1"/>
  <c r="E16" i="2"/>
  <c r="D16" i="2"/>
  <c r="C16" i="2"/>
  <c r="B16" i="2"/>
  <c r="G16" i="2" s="1"/>
  <c r="H15" i="2"/>
  <c r="E15" i="2"/>
  <c r="D15" i="2"/>
  <c r="C15" i="2"/>
  <c r="B15" i="2"/>
  <c r="F15" i="2" s="1"/>
  <c r="H11" i="2"/>
  <c r="G11" i="2"/>
  <c r="E11" i="2"/>
  <c r="D11" i="2"/>
  <c r="C11" i="2"/>
  <c r="B11" i="2"/>
  <c r="F11" i="2" s="1"/>
  <c r="E10" i="2"/>
  <c r="D10" i="2"/>
  <c r="C10" i="2"/>
  <c r="B10" i="2"/>
  <c r="H10" i="2" s="1"/>
  <c r="F6" i="2"/>
  <c r="D6" i="2"/>
  <c r="B6" i="2"/>
  <c r="F5" i="2"/>
  <c r="D5" i="2"/>
  <c r="B5" i="2"/>
  <c r="F38" i="2" s="1"/>
  <c r="F4" i="2"/>
  <c r="D4" i="2"/>
  <c r="B4" i="2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  <c r="G15" i="2" l="1"/>
  <c r="H16" i="2"/>
  <c r="F18" i="2"/>
  <c r="F10" i="2"/>
  <c r="F17" i="2"/>
  <c r="G10" i="2"/>
  <c r="F16" i="2"/>
  <c r="G17" i="2"/>
</calcChain>
</file>

<file path=xl/sharedStrings.xml><?xml version="1.0" encoding="utf-8"?>
<sst xmlns="http://schemas.openxmlformats.org/spreadsheetml/2006/main" count="232" uniqueCount="174">
  <si>
    <t>scenario_id</t>
  </si>
  <si>
    <t>idioma</t>
  </si>
  <si>
    <t>motivo_consulta</t>
  </si>
  <si>
    <t>descripcion_inicial</t>
  </si>
  <si>
    <t>slots_esperados</t>
  </si>
  <si>
    <t>flujo_esperado</t>
  </si>
  <si>
    <t>pasos_esperados</t>
  </si>
  <si>
    <t>resultado_real (texto libre, notas)</t>
  </si>
  <si>
    <t>correcto (sí, parcial, no)</t>
  </si>
  <si>
    <t>observaciones</t>
  </si>
  <si>
    <t>pasos_reales (Nº total de mensajes que envía el bot durante la conversación)</t>
  </si>
  <si>
    <t>pasos_correctos (de estos pasos reales cuántos eran los esperados según el flujo)</t>
  </si>
  <si>
    <t>respuestas_totales (el nº de respuestas totales puede ser igual al nº de pasos reales)</t>
  </si>
  <si>
    <t>respuestas_idioma_correcto (de las respuestas que te da el bot cuántas están en el idioma que el usuario indica. para ver si el bot cambia de idioma durante el flujo o no)</t>
  </si>
  <si>
    <t>step_accuracy_escenario</t>
  </si>
  <si>
    <t>lang_consistency_escenario</t>
  </si>
  <si>
    <t>ES-01</t>
  </si>
  <si>
    <t>castellano</t>
  </si>
  <si>
    <t>nuevo_síntoma</t>
  </si>
  <si>
    <t>me duele la cabeza</t>
  </si>
  <si>
    <t>pain_location=cabeza | pain_type=? | symptom_duration=? | pain_intensity=? | meds_details=? | is_pregnant=? | is_smoker=? | allergies_details=? | chronic_conditions_details=?</t>
  </si>
  <si>
    <t>greet → idioma ES → motivo → descripción → preguntas una a una → resumen → confirmar → triage → cita → fin</t>
  </si>
  <si>
    <t>~14 turnos</t>
  </si>
  <si>
    <t>parcial</t>
  </si>
  <si>
    <t>me preguntó dos veces el motivo de mi consulta</t>
  </si>
  <si>
    <t>ES-02</t>
  </si>
  <si>
    <t>urgencia</t>
  </si>
  <si>
    <t>tengo una urgencia</t>
  </si>
  <si>
    <t>needs_emergency=true (early exit)</t>
  </si>
  <si>
    <t>greet → idioma ES → motivo=urgencia → utter_suggest_emergency_es → END</t>
  </si>
  <si>
    <t>~3 turnos</t>
  </si>
  <si>
    <t>sí</t>
  </si>
  <si>
    <t>ES-03</t>
  </si>
  <si>
    <t>revisión</t>
  </si>
  <si>
    <t>quiero una revisión</t>
  </si>
  <si>
    <t>appointment_reason=revisión | chosen_date=&lt;fecha elegida&gt;</t>
  </si>
  <si>
    <t>greet → idioma ES → motivo=revisión → pedir fecha → reservar → confirmar → fin</t>
  </si>
  <si>
    <t>~5 turnos</t>
  </si>
  <si>
    <t>ES-04</t>
  </si>
  <si>
    <t>llevo tres días con dolor en el pecho, es un dolor punzante, intensidad 7, he tomado ibuprofeno y no tengo alergias ni enfermedades crónicas</t>
  </si>
  <si>
    <t>pain_location=pecho | pain_type=punzante | symptom_duration=3 días | pain_intensity=7 | meds_details=ibuprofeno | allergies_details=no | chronic_conditions_details=no</t>
  </si>
  <si>
    <t>greet → idioma ES → motivo → descripción rica → action_extract_slots rellena slots automáticamente → bot NO vuelve a preguntar los ya rellenados → resumen → confirmar → triage → cita → fin</t>
  </si>
  <si>
    <t>~7-8 turnos (bot omite preguntas ya resueltas)</t>
  </si>
  <si>
    <t>te pregunta desde cuándo tienes los síntomas cuando realmente ya lo sabíamos pq en el primer mensaje ya se lo habíamos explicado</t>
  </si>
  <si>
    <t>ES-05</t>
  </si>
  <si>
    <t>seguimiento</t>
  </si>
  <si>
    <t>es un seguimiento, y sí, el médico ya tiene todos los detalles</t>
  </si>
  <si>
    <t>appointment_reason=seguimiento | doctor_has_details=si</t>
  </si>
  <si>
    <t>greet → idioma ES → motivo=seguimiento → ¿médico tiene detalles? → sí → saltar anamnesis → cita directa → fin</t>
  </si>
  <si>
    <t>ES-06</t>
  </si>
  <si>
    <t>me duele el estómago desde ayer</t>
  </si>
  <si>
    <t>pain_location=estómago | symptom_duration=1 día | is_pregnant=false | is_smoker=false | allergies_details=no | chronic_conditions_details=no | meds_details=ninguno</t>
  </si>
  <si>
    <t>greet → idioma ES → motivo → descripción → bot pregunta slots no cubiertos → paciente responde 'no' a todo → bot continúa SIN insistir → resumen → confirmar → triage → cita → fin</t>
  </si>
  <si>
    <t>~12 turnos (todos los 'no' aceptados sin repreguntar)</t>
  </si>
  <si>
    <t>no</t>
  </si>
  <si>
    <t xml:space="preserve">me pregutna dónde me duele otra vez, y realmente ya lo sabía con el motivo de la consulta // además también pregunta desde cuándo tengo los síntomas </t>
  </si>
  <si>
    <t>ES-07</t>
  </si>
  <si>
    <t>me duele la garganta desde ayer a la noche, me tomé un jarabe para la tos y no he mejorado los síntomas</t>
  </si>
  <si>
    <t>pain_location=garganta | symptom_duration=ayer noche | is_pregnant=false | is_smoker=false | allergies_details=no | chronic_conditions_details=no | meds_details=ninguno</t>
  </si>
  <si>
    <t>se repiten algunas preguntas que había ya en el primer promt</t>
  </si>
  <si>
    <t>ES-08</t>
  </si>
  <si>
    <t>me dule el pie derecho desde hace tres días, cuando practiqué deporte. me he tomado un ibuprofeno, pero todavía lo tengo un poco inflamado y cuando ando me molesta.</t>
  </si>
  <si>
    <t>pain_location=pie | symptom_duration=ayer noche | is_pregnant=false | is_smoker=false | allergies_details=no | chronic_conditions_details=no | meds_details=ninguno</t>
  </si>
  <si>
    <t>CA-01</t>
  </si>
  <si>
    <t>català</t>
  </si>
  <si>
    <t>nou_símptoma</t>
  </si>
  <si>
    <t>em fa mal l'esquena</t>
  </si>
  <si>
    <t>pain_location=esquena | pain_type=? | symptom_duration=? | pain_intensity=? | meds_details=? | is_pregnant=? | is_smoker=? | allergies_details=? | chronic_conditions_details=?</t>
  </si>
  <si>
    <t>greet → idioma CA → motiu → descripció → preguntes una a una → resum → confirmar → triage → cita → fi</t>
  </si>
  <si>
    <t>~14 torns</t>
  </si>
  <si>
    <t>CA-02</t>
  </si>
  <si>
    <t>urgència</t>
  </si>
  <si>
    <t>tinc una urgència</t>
  </si>
  <si>
    <t>greet → idioma CA → motiu=urgència → utter_suggest_emergency_ca → END</t>
  </si>
  <si>
    <t>~3 torns</t>
  </si>
  <si>
    <t>CA-03</t>
  </si>
  <si>
    <t>revisió</t>
  </si>
  <si>
    <t>vull una revisió</t>
  </si>
  <si>
    <t>appointment_reason=revisió | chosen_date=&lt;data triada&gt;</t>
  </si>
  <si>
    <t>greet → idioma CA → motiu=revisió → demanar data → reservar → confirmar → fi</t>
  </si>
  <si>
    <t>~5 torns</t>
  </si>
  <si>
    <t>CA-04</t>
  </si>
  <si>
    <t>seguiment</t>
  </si>
  <si>
    <t>és un seguiment, però el metge no té els detalls del cas</t>
  </si>
  <si>
    <t>appointment_reason=seguiment | doctor_has_details=no → caiguda a anamnesi completa</t>
  </si>
  <si>
    <t>greet → idioma CA → motiu=seguiment → ¿metge té detalls? → no → caure a initial_description_ca → anamnesi completa → resum → confirmar → triage → cita → fi</t>
  </si>
  <si>
    <t>cambio de catalán a castellano en 3 mensajes // preguntó una cosa que ya se lo habíamos comentado en el motivo de la consulta</t>
  </si>
  <si>
    <t>CA-05</t>
  </si>
  <si>
    <t>porto tres dies amb febre alta, mal de cap i fatiga, no he pres res i no tinc al·lèrgies</t>
  </si>
  <si>
    <t>pain_location=cap | symptom_duration=3 dies | meds_details=no | allergies_details=no</t>
  </si>
  <si>
    <t>greet → idioma CA → motiu → descripció rica → action_extract_slots rellena automàticament → bot NO torna a preguntar els ja omplerts → resum → confirmar → triage → cita → fi</t>
  </si>
  <si>
    <t>~8-9 torns (bot omet preguntes ja resoltes)</t>
  </si>
  <si>
    <t>te vuelve a preguntar dónde tengo el dolor y ya se lo he dicho // también pregunta desde cuándo // también te pregunta el medicamento</t>
  </si>
  <si>
    <t>CA-06</t>
  </si>
  <si>
    <t xml:space="preserve">tinc mal al queixal des de fa una setmana, m'he prés ibuporfeno, però el dolor no marxa del tot. </t>
  </si>
  <si>
    <t>pain_location=queixal | symptom_duration=1 setmana| meds_details=no | allergies_details=no</t>
  </si>
  <si>
    <t>CA-07</t>
  </si>
  <si>
    <t xml:space="preserve">porto quatre dies amb vomits a la nit, no fumo i tampoc tinc al·lèrgies. </t>
  </si>
  <si>
    <t>pain_location=? | symptom_duration=quatre dies| is_pregnant=? | is_smoker=false | allergies_details=no | chronic_conditions_details=no | meds_details=?</t>
  </si>
  <si>
    <t>CA-08</t>
  </si>
  <si>
    <t>tinc dolor de panxa</t>
  </si>
  <si>
    <t>report_confirmed=false → edició → report_confirmed=true</t>
  </si>
  <si>
    <t>greet → idioma CA → motiu → descripció → anamnesi → resum → pacient vol modificar → action_ask_and_handle_report_edit → mostrar resum de nou → confirmar → triage → cita → fi</t>
  </si>
  <si>
    <t>~16 torns (cicle d'edició inclòs)</t>
  </si>
  <si>
    <t>tres respuestas se han repetido</t>
  </si>
  <si>
    <t>📊 Dashboard de Evaluación — Chatbot Rasa</t>
  </si>
  <si>
    <t>RESUMEN GLOBAL</t>
  </si>
  <si>
    <t>PROGRESO</t>
  </si>
  <si>
    <t>Total escenarios</t>
  </si>
  <si>
    <t>✅  Correctos</t>
  </si>
  <si>
    <t>% Completado</t>
  </si>
  <si>
    <t>Evaluados</t>
  </si>
  <si>
    <t>⚠️  Parciales</t>
  </si>
  <si>
    <t>Escenarios ES evaluados</t>
  </si>
  <si>
    <t>Pendientes</t>
  </si>
  <si>
    <t>❌  Incorrectos</t>
  </si>
  <si>
    <t>Escenarios CA evaluados</t>
  </si>
  <si>
    <t>DESGLOSE POR IDIOMA</t>
  </si>
  <si>
    <t>Idioma</t>
  </si>
  <si>
    <t>✅ Correcto</t>
  </si>
  <si>
    <t>⚠️ Parcial</t>
  </si>
  <si>
    <t>❌ Incorrecto</t>
  </si>
  <si>
    <t>% Éxito</t>
  </si>
  <si>
    <t>% Parcial</t>
  </si>
  <si>
    <t>% Fallo</t>
  </si>
  <si>
    <t>Castellano</t>
  </si>
  <si>
    <t>Català</t>
  </si>
  <si>
    <t>DESGLOSE POR MOTIVO DE CONSULTA</t>
  </si>
  <si>
    <t>Motivo</t>
  </si>
  <si>
    <t>nuevo_síntoma / nou_símptoma</t>
  </si>
  <si>
    <t>urgencia / urgència</t>
  </si>
  <si>
    <t>revisión / revisió</t>
  </si>
  <si>
    <t>seguimiento / seguiment</t>
  </si>
  <si>
    <t>ANÁLISIS DE SLOTS Y FLUJOS</t>
  </si>
  <si>
    <t>Escenario</t>
  </si>
  <si>
    <t>Flujo esperado (resumen)</t>
  </si>
  <si>
    <t>Correcto</t>
  </si>
  <si>
    <t>Observaciones</t>
  </si>
  <si>
    <t>Reason</t>
  </si>
  <si>
    <t>Good</t>
  </si>
  <si>
    <t>Partial</t>
  </si>
  <si>
    <t>Wrong</t>
  </si>
  <si>
    <t>Diagnosis and sick leave</t>
  </si>
  <si>
    <t>Urgency</t>
  </si>
  <si>
    <t>Check-up</t>
  </si>
  <si>
    <t>Follow-up</t>
  </si>
  <si>
    <t>INDICADORES CLAVE DE CALIDAD</t>
  </si>
  <si>
    <t>Tasa de éxito flows cortos
(urgencia + revisión)</t>
  </si>
  <si>
    <t>Tasa de éxito anamnesis completa
(nuevo síntoma)</t>
  </si>
  <si>
    <t>Metric</t>
  </si>
  <si>
    <t>Global</t>
  </si>
  <si>
    <t>Spanish</t>
  </si>
  <si>
    <t>Catalan</t>
  </si>
  <si>
    <t>Tasa de éxito detección idioma
(todos los escenarios)</t>
  </si>
  <si>
    <t>Flow Success Rate</t>
  </si>
  <si>
    <t>Escenarios con observaciones
(algún problema anotado)</t>
  </si>
  <si>
    <t>Step Accuracy</t>
  </si>
  <si>
    <t>Language Consistency</t>
  </si>
  <si>
    <t>MÉTRICAS DE EVALUACIÓN</t>
  </si>
  <si>
    <t>Métrica</t>
  </si>
  <si>
    <t>Descripción</t>
  </si>
  <si>
    <t>Fórmula</t>
  </si>
  <si>
    <t>Valor Global</t>
  </si>
  <si>
    <t>ES</t>
  </si>
  <si>
    <t>CA</t>
  </si>
  <si>
    <t>Mín escenario</t>
  </si>
  <si>
    <t>Máx escenario</t>
  </si>
  <si>
    <t>Flows correctos (sí=1, parcial=0.5, no=0) / Total flows evaluados</t>
  </si>
  <si>
    <t>(sí×1 + parcial×0.5) / evaluados</t>
  </si>
  <si>
    <t>—</t>
  </si>
  <si>
    <t>Pasos correctos / Pasos reales. Paso inesperado = incorrecto (penaliza).</t>
  </si>
  <si>
    <t>SUM(pasos_correctos) / SUM(pasos_reales)</t>
  </si>
  <si>
    <t>Respuestas del bot en el idioma correcto / Total respuestas del bot</t>
  </si>
  <si>
    <t>SUM(resp_correctas) / SUM(resp_totales)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</si>
</sst>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&quot;%&quot;"/>
  </numFmts>
  <fonts count="18" x14ac:knownFonts="1">
    <font>
      <sz val="11"/>
      <color theme="1"/>
      <name val="Calibri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theme="1"/>
      <name val="Arial"/>
    </font>
    <font>
      <sz val="9"/>
      <color rgb="FF000000"/>
      <name val="Arial"/>
    </font>
    <font>
      <b/>
      <sz val="9"/>
      <color rgb="FF000000"/>
      <name val="Arial"/>
    </font>
    <font>
      <i/>
      <sz val="8"/>
      <color rgb="FF888888"/>
      <name val="Arial"/>
    </font>
    <font>
      <b/>
      <sz val="14"/>
      <color rgb="FFFFFFFF"/>
      <name val="Arial"/>
    </font>
    <font>
      <sz val="11"/>
      <name val="Calibri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1"/>
      <color theme="1"/>
      <name val="Calibri"/>
      <scheme val="minor"/>
    </font>
    <font>
      <b/>
      <sz val="11"/>
      <color rgb="FF000000"/>
      <name val="Arial"/>
    </font>
    <font>
      <b/>
      <sz val="12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i/>
      <sz val="8"/>
      <color rgb="FF595959"/>
      <name val="Arial"/>
    </font>
  </fonts>
  <fills count="1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DEEFF"/>
        <bgColor rgb="FFDDEEFF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C8E0F4"/>
        <bgColor rgb="FFC8E0F4"/>
      </patternFill>
    </fill>
    <fill>
      <patternFill patternType="solid">
        <fgColor rgb="FFEAF4EA"/>
        <bgColor rgb="FFEAF4EA"/>
      </patternFill>
    </fill>
    <fill>
      <patternFill patternType="solid">
        <fgColor rgb="FFD4EBCF"/>
        <bgColor rgb="FFD4EBCF"/>
      </patternFill>
    </fill>
    <fill>
      <patternFill patternType="solid">
        <fgColor rgb="FF595959"/>
        <bgColor rgb="FF595959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FCE4D6"/>
        <bgColor rgb="FFFCE4D6"/>
      </patternFill>
    </fill>
    <fill>
      <patternFill patternType="solid">
        <fgColor rgb="FFD9E2F3"/>
        <bgColor rgb="FFD9E2F3"/>
      </patternFill>
    </fill>
    <fill>
      <patternFill patternType="solid">
        <fgColor rgb="FFEAD1DC"/>
        <bgColor rgb="FFEAD1DC"/>
      </patternFill>
    </fill>
    <fill>
      <patternFill patternType="solid">
        <fgColor rgb="FFFFFAE5"/>
        <bgColor rgb="FFFFFAE5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6" fillId="0" borderId="0" xfId="0" applyFont="1"/>
    <xf numFmtId="0" fontId="10" fillId="5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left" vertical="center" wrapText="1"/>
    </xf>
    <xf numFmtId="0" fontId="10" fillId="10" borderId="2" xfId="0" applyFont="1" applyFill="1" applyBorder="1" applyAlignment="1">
      <alignment horizontal="center" vertical="center" wrapText="1"/>
    </xf>
    <xf numFmtId="164" fontId="10" fillId="5" borderId="2" xfId="0" applyNumberFormat="1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left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left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10" fontId="12" fillId="0" borderId="0" xfId="0" applyNumberFormat="1" applyFont="1" applyAlignment="1">
      <alignment vertical="center"/>
    </xf>
    <xf numFmtId="9" fontId="12" fillId="0" borderId="0" xfId="0" applyNumberFormat="1" applyFont="1" applyAlignment="1">
      <alignment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15" fillId="13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5" xfId="0" applyFont="1" applyBorder="1"/>
    <xf numFmtId="0" fontId="9" fillId="2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7" fillId="15" borderId="3" xfId="0" applyFont="1" applyFill="1" applyBorder="1" applyAlignment="1">
      <alignment horizontal="left" vertical="center" wrapText="1"/>
    </xf>
    <xf numFmtId="0" fontId="5" fillId="12" borderId="3" xfId="0" applyFont="1" applyFill="1" applyBorder="1" applyAlignment="1">
      <alignment horizontal="left" vertical="center" wrapText="1"/>
    </xf>
    <xf numFmtId="0" fontId="13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left" vertical="center" wrapText="1"/>
    </xf>
    <xf numFmtId="0" fontId="13" fillId="13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Dashboard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Dashboard-style 2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2F5496"/>
                </a:solidFill>
                <a:latin typeface="+mn-lt"/>
              </a:defRPr>
            </a:pPr>
            <a:r>
              <a:rPr lang="es-ES" b="0">
                <a:solidFill>
                  <a:srgbClr val="2F5496"/>
                </a:solidFill>
                <a:latin typeface="+mn-lt"/>
              </a:rPr>
              <a:t>Global - Spanish and Catalan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Dashboard!$N$37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Dashboard!$M$38:$M$40</c:f>
              <c:strCache>
                <c:ptCount val="3"/>
                <c:pt idx="0">
                  <c:v>Flow Success Rate</c:v>
                </c:pt>
                <c:pt idx="1">
                  <c:v>Step Accuracy</c:v>
                </c:pt>
                <c:pt idx="2">
                  <c:v>Language Consistency</c:v>
                </c:pt>
              </c:strCache>
            </c:strRef>
          </c:cat>
          <c:val>
            <c:numRef>
              <c:f>Dashboard!$N$38:$N$40</c:f>
              <c:numCache>
                <c:formatCode>0.00%</c:formatCode>
                <c:ptCount val="3"/>
                <c:pt idx="0">
                  <c:v>0.71899999999999997</c:v>
                </c:pt>
                <c:pt idx="1">
                  <c:v>0.95099999999999996</c:v>
                </c:pt>
                <c:pt idx="2">
                  <c:v>0.98499999999999999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42E-4798-B398-197DA25EBB78}"/>
            </c:ext>
          </c:extLst>
        </c:ser>
        <c:ser>
          <c:idx val="1"/>
          <c:order val="1"/>
          <c:tx>
            <c:strRef>
              <c:f>Dashboard!$O$37</c:f>
              <c:strCache>
                <c:ptCount val="1"/>
                <c:pt idx="0">
                  <c:v>Spanish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Dashboard!$M$38:$M$40</c:f>
              <c:strCache>
                <c:ptCount val="3"/>
                <c:pt idx="0">
                  <c:v>Flow Success Rate</c:v>
                </c:pt>
                <c:pt idx="1">
                  <c:v>Step Accuracy</c:v>
                </c:pt>
                <c:pt idx="2">
                  <c:v>Language Consistency</c:v>
                </c:pt>
              </c:strCache>
            </c:strRef>
          </c:cat>
          <c:val>
            <c:numRef>
              <c:f>Dashboard!$O$38:$O$40</c:f>
              <c:numCache>
                <c:formatCode>0.00%</c:formatCode>
                <c:ptCount val="3"/>
                <c:pt idx="0">
                  <c:v>0.68799999999999994</c:v>
                </c:pt>
                <c:pt idx="1">
                  <c:v>0.96099999999999997</c:v>
                </c:pt>
                <c:pt idx="2" formatCode="0%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42E-4798-B398-197DA25EBB78}"/>
            </c:ext>
          </c:extLst>
        </c:ser>
        <c:ser>
          <c:idx val="2"/>
          <c:order val="2"/>
          <c:tx>
            <c:strRef>
              <c:f>Dashboard!$P$37</c:f>
              <c:strCache>
                <c:ptCount val="1"/>
                <c:pt idx="0">
                  <c:v>Catalan</c:v>
                </c:pt>
              </c:strCache>
            </c:strRef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042E-4798-B398-197DA25EBB78}"/>
              </c:ext>
            </c:extLst>
          </c:dPt>
          <c:cat>
            <c:strRef>
              <c:f>Dashboard!$M$38:$M$40</c:f>
              <c:strCache>
                <c:ptCount val="3"/>
                <c:pt idx="0">
                  <c:v>Flow Success Rate</c:v>
                </c:pt>
                <c:pt idx="1">
                  <c:v>Step Accuracy</c:v>
                </c:pt>
                <c:pt idx="2">
                  <c:v>Language Consistency</c:v>
                </c:pt>
              </c:strCache>
            </c:strRef>
          </c:cat>
          <c:val>
            <c:numRef>
              <c:f>Dashboard!$P$38:$P$40</c:f>
              <c:numCache>
                <c:formatCode>0.00%</c:formatCode>
                <c:ptCount val="3"/>
                <c:pt idx="0">
                  <c:v>0.75</c:v>
                </c:pt>
                <c:pt idx="1">
                  <c:v>0.94299999999999995</c:v>
                </c:pt>
                <c:pt idx="2">
                  <c:v>0.97099999999999997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42E-4798-B398-197DA25EB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272265"/>
        <c:axId val="731101468"/>
      </c:barChart>
      <c:catAx>
        <c:axId val="511272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731101468"/>
        <c:crosses val="autoZero"/>
        <c:auto val="1"/>
        <c:lblAlgn val="ctr"/>
        <c:lblOffset val="100"/>
        <c:noMultiLvlLbl val="1"/>
      </c:catAx>
      <c:valAx>
        <c:axId val="731101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5112722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ES" b="0">
                <a:solidFill>
                  <a:srgbClr val="757575"/>
                </a:solidFill>
                <a:latin typeface="+mn-lt"/>
              </a:rPr>
              <a:t>Appointment reason performance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Dashboard!$N$22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Dashboard!$M$23:$M$26</c:f>
              <c:strCache>
                <c:ptCount val="4"/>
                <c:pt idx="0">
                  <c:v>Diagnosis and sick leave</c:v>
                </c:pt>
                <c:pt idx="1">
                  <c:v>Urgency</c:v>
                </c:pt>
                <c:pt idx="2">
                  <c:v>Check-up</c:v>
                </c:pt>
                <c:pt idx="3">
                  <c:v>Follow-up</c:v>
                </c:pt>
              </c:strCache>
            </c:strRef>
          </c:cat>
          <c:val>
            <c:numRef>
              <c:f>Dashboard!$N$23:$N$26</c:f>
              <c:numCache>
                <c:formatCode>0%</c:formatCode>
                <c:ptCount val="4"/>
                <c:pt idx="0" formatCode="0.00%">
                  <c:v>0.4</c:v>
                </c:pt>
                <c:pt idx="1">
                  <c:v>1</c:v>
                </c:pt>
                <c:pt idx="2">
                  <c:v>1</c:v>
                </c:pt>
                <c:pt idx="3" formatCode="0.00%">
                  <c:v>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08B-4FD7-80CA-668CC6106CD5}"/>
            </c:ext>
          </c:extLst>
        </c:ser>
        <c:ser>
          <c:idx val="1"/>
          <c:order val="1"/>
          <c:tx>
            <c:strRef>
              <c:f>Dashboard!$O$22</c:f>
              <c:strCache>
                <c:ptCount val="1"/>
                <c:pt idx="0">
                  <c:v>Partial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Dashboard!$M$23:$M$26</c:f>
              <c:strCache>
                <c:ptCount val="4"/>
                <c:pt idx="0">
                  <c:v>Diagnosis and sick leave</c:v>
                </c:pt>
                <c:pt idx="1">
                  <c:v>Urgency</c:v>
                </c:pt>
                <c:pt idx="2">
                  <c:v>Check-up</c:v>
                </c:pt>
                <c:pt idx="3">
                  <c:v>Follow-up</c:v>
                </c:pt>
              </c:strCache>
            </c:strRef>
          </c:cat>
          <c:val>
            <c:numRef>
              <c:f>Dashboard!$O$23:$O$26</c:f>
              <c:numCache>
                <c:formatCode>0%</c:formatCode>
                <c:ptCount val="4"/>
                <c:pt idx="0" formatCode="0.00%">
                  <c:v>0.5</c:v>
                </c:pt>
                <c:pt idx="1">
                  <c:v>0</c:v>
                </c:pt>
                <c:pt idx="2">
                  <c:v>0</c:v>
                </c:pt>
                <c:pt idx="3" formatCode="0.00%">
                  <c:v>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08B-4FD7-80CA-668CC6106CD5}"/>
            </c:ext>
          </c:extLst>
        </c:ser>
        <c:ser>
          <c:idx val="2"/>
          <c:order val="2"/>
          <c:tx>
            <c:strRef>
              <c:f>Dashboard!$P$22</c:f>
              <c:strCache>
                <c:ptCount val="1"/>
                <c:pt idx="0">
                  <c:v>Wrong</c:v>
                </c:pt>
              </c:strCache>
            </c:strRef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Dashboard!$M$23:$M$26</c:f>
              <c:strCache>
                <c:ptCount val="4"/>
                <c:pt idx="0">
                  <c:v>Diagnosis and sick leave</c:v>
                </c:pt>
                <c:pt idx="1">
                  <c:v>Urgency</c:v>
                </c:pt>
                <c:pt idx="2">
                  <c:v>Check-up</c:v>
                </c:pt>
                <c:pt idx="3">
                  <c:v>Follow-up</c:v>
                </c:pt>
              </c:strCache>
            </c:strRef>
          </c:cat>
          <c:val>
            <c:numRef>
              <c:f>Dashboard!$P$23:$P$26</c:f>
              <c:numCache>
                <c:formatCode>0%</c:formatCode>
                <c:ptCount val="4"/>
                <c:pt idx="0">
                  <c:v>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08B-4FD7-80CA-668CC6106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1381438"/>
        <c:axId val="2055647144"/>
      </c:barChart>
      <c:catAx>
        <c:axId val="1761381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055647144"/>
        <c:crosses val="autoZero"/>
        <c:auto val="1"/>
        <c:lblAlgn val="ctr"/>
        <c:lblOffset val="100"/>
        <c:noMultiLvlLbl val="1"/>
      </c:catAx>
      <c:valAx>
        <c:axId val="205564714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76138143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114300</xdr:colOff>
      <xdr:row>2</xdr:row>
      <xdr:rowOff>228600</xdr:rowOff>
    </xdr:from>
    <xdr:ext cx="5715000" cy="3533775"/>
    <xdr:graphicFrame macro="">
      <xdr:nvGraphicFramePr>
        <xdr:cNvPr id="279101844" name="Chart 1" title="Gràfic">
          <a:extLst>
            <a:ext uri="{FF2B5EF4-FFF2-40B4-BE49-F238E27FC236}">
              <a16:creationId xmlns:a16="http://schemas.microsoft.com/office/drawing/2014/main" id="{00000000-0008-0000-0100-000094C1A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295275</xdr:colOff>
      <xdr:row>26</xdr:row>
      <xdr:rowOff>371475</xdr:rowOff>
    </xdr:from>
    <xdr:ext cx="4733925" cy="2933700"/>
    <xdr:graphicFrame macro="">
      <xdr:nvGraphicFramePr>
        <xdr:cNvPr id="378537371" name="Chart 2" title="Gràfic">
          <a:extLst>
            <a:ext uri="{FF2B5EF4-FFF2-40B4-BE49-F238E27FC236}">
              <a16:creationId xmlns:a16="http://schemas.microsoft.com/office/drawing/2014/main" id="{00000000-0008-0000-0100-00009B059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ula2" displayName="Taula2" ref="M22:P26">
  <tableColumns count="4">
    <tableColumn id="1" xr3:uid="{00000000-0010-0000-0000-000001000000}" name="Reason"/>
    <tableColumn id="2" xr3:uid="{00000000-0010-0000-0000-000002000000}" name="Good"/>
    <tableColumn id="3" xr3:uid="{00000000-0010-0000-0000-000003000000}" name="Partial"/>
    <tableColumn id="4" xr3:uid="{00000000-0010-0000-0000-000004000000}" name="Wrong"/>
  </tableColumns>
  <tableStyleInfo name="Dashboar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ula1" displayName="Taula1" ref="M37:P40">
  <tableColumns count="4">
    <tableColumn id="1" xr3:uid="{00000000-0010-0000-0100-000001000000}" name="Metric"/>
    <tableColumn id="2" xr3:uid="{00000000-0010-0000-0100-000002000000}" name="Global"/>
    <tableColumn id="3" xr3:uid="{00000000-0010-0000-0100-000003000000}" name="Spanish"/>
    <tableColumn id="4" xr3:uid="{00000000-0010-0000-0100-000004000000}" name="Catalan"/>
  </tableColumns>
  <tableStyleInfo name="Dashboard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5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453125" defaultRowHeight="15" customHeight="1" x14ac:dyDescent="0.35"/>
  <cols>
    <col min="1" max="1" width="10" customWidth="1"/>
    <col min="2" max="2" width="11" customWidth="1"/>
    <col min="3" max="3" width="16" customWidth="1"/>
    <col min="4" max="4" width="35" customWidth="1"/>
    <col min="5" max="6" width="55" customWidth="1"/>
    <col min="7" max="7" width="20" customWidth="1"/>
    <col min="8" max="8" width="25" customWidth="1"/>
    <col min="9" max="9" width="12" customWidth="1"/>
    <col min="10" max="10" width="25" customWidth="1"/>
    <col min="11" max="11" width="27.08984375" customWidth="1"/>
    <col min="12" max="12" width="31.54296875" customWidth="1"/>
    <col min="13" max="13" width="18" customWidth="1"/>
    <col min="14" max="14" width="34.453125" customWidth="1"/>
    <col min="15" max="16" width="18" customWidth="1"/>
    <col min="17" max="25" width="8.7265625" customWidth="1"/>
  </cols>
  <sheetData>
    <row r="1" spans="1:1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69.75" customHeight="1" x14ac:dyDescent="0.3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/>
      <c r="I2" s="3" t="s">
        <v>23</v>
      </c>
      <c r="J2" s="3" t="s">
        <v>24</v>
      </c>
      <c r="K2" s="4">
        <v>29</v>
      </c>
      <c r="L2" s="4">
        <v>28</v>
      </c>
      <c r="M2" s="4">
        <v>29</v>
      </c>
      <c r="N2" s="4">
        <v>29</v>
      </c>
      <c r="O2" s="5" t="str">
        <f t="shared" ref="O2:O7" si="0">IF(OR(K2="",K2=0),"-",ROUND(L2/K2*100,1)&amp;"%")</f>
        <v>96,6%</v>
      </c>
      <c r="P2" s="5" t="str">
        <f t="shared" ref="P2:P7" si="1">IF(OR(M2="",M2=0),"-",ROUND(N2/M2*100,1)&amp;"%")</f>
        <v>100%</v>
      </c>
    </row>
    <row r="3" spans="1:16" ht="69.75" customHeight="1" x14ac:dyDescent="0.35">
      <c r="A3" s="6" t="s">
        <v>25</v>
      </c>
      <c r="B3" s="6" t="s">
        <v>17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/>
      <c r="I3" s="6" t="s">
        <v>31</v>
      </c>
      <c r="J3" s="6"/>
      <c r="K3" s="4">
        <v>10</v>
      </c>
      <c r="L3" s="4">
        <v>10</v>
      </c>
      <c r="M3" s="4">
        <v>10</v>
      </c>
      <c r="N3" s="4">
        <v>10</v>
      </c>
      <c r="O3" s="5" t="str">
        <f t="shared" si="0"/>
        <v>100%</v>
      </c>
      <c r="P3" s="5" t="str">
        <f t="shared" si="1"/>
        <v>100%</v>
      </c>
    </row>
    <row r="4" spans="1:16" ht="69.75" customHeight="1" x14ac:dyDescent="0.35">
      <c r="A4" s="3" t="s">
        <v>32</v>
      </c>
      <c r="B4" s="3" t="s">
        <v>17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/>
      <c r="I4" s="3" t="s">
        <v>31</v>
      </c>
      <c r="J4" s="3"/>
      <c r="K4" s="4">
        <v>13</v>
      </c>
      <c r="L4" s="4">
        <v>13</v>
      </c>
      <c r="M4" s="4">
        <v>13</v>
      </c>
      <c r="N4" s="4">
        <v>13</v>
      </c>
      <c r="O4" s="5" t="str">
        <f t="shared" si="0"/>
        <v>100%</v>
      </c>
      <c r="P4" s="5" t="str">
        <f t="shared" si="1"/>
        <v>100%</v>
      </c>
    </row>
    <row r="5" spans="1:16" ht="69.75" customHeight="1" x14ac:dyDescent="0.35">
      <c r="A5" s="6" t="s">
        <v>38</v>
      </c>
      <c r="B5" s="6" t="s">
        <v>17</v>
      </c>
      <c r="C5" s="6" t="s">
        <v>18</v>
      </c>
      <c r="D5" s="6" t="s">
        <v>39</v>
      </c>
      <c r="E5" s="6" t="s">
        <v>40</v>
      </c>
      <c r="F5" s="6" t="s">
        <v>41</v>
      </c>
      <c r="G5" s="6" t="s">
        <v>42</v>
      </c>
      <c r="H5" s="6"/>
      <c r="I5" s="6" t="s">
        <v>23</v>
      </c>
      <c r="J5" s="6" t="s">
        <v>43</v>
      </c>
      <c r="K5" s="4">
        <v>22</v>
      </c>
      <c r="L5" s="4">
        <v>21</v>
      </c>
      <c r="M5" s="4">
        <v>22</v>
      </c>
      <c r="N5" s="4">
        <v>22</v>
      </c>
      <c r="O5" s="5" t="str">
        <f t="shared" si="0"/>
        <v>95,5%</v>
      </c>
      <c r="P5" s="5" t="str">
        <f t="shared" si="1"/>
        <v>100%</v>
      </c>
    </row>
    <row r="6" spans="1:16" ht="69.75" customHeight="1" x14ac:dyDescent="0.35">
      <c r="A6" s="3" t="s">
        <v>44</v>
      </c>
      <c r="B6" s="3" t="s">
        <v>17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37</v>
      </c>
      <c r="H6" s="3"/>
      <c r="I6" s="3" t="s">
        <v>31</v>
      </c>
      <c r="J6" s="3"/>
      <c r="K6" s="4">
        <v>15</v>
      </c>
      <c r="L6" s="4">
        <v>15</v>
      </c>
      <c r="M6" s="4">
        <v>15</v>
      </c>
      <c r="N6" s="4">
        <v>15</v>
      </c>
      <c r="O6" s="5" t="str">
        <f t="shared" si="0"/>
        <v>100%</v>
      </c>
      <c r="P6" s="5" t="str">
        <f t="shared" si="1"/>
        <v>100%</v>
      </c>
    </row>
    <row r="7" spans="1:16" ht="69.75" customHeight="1" x14ac:dyDescent="0.35">
      <c r="A7" s="6" t="s">
        <v>49</v>
      </c>
      <c r="B7" s="6" t="s">
        <v>17</v>
      </c>
      <c r="C7" s="6" t="s">
        <v>18</v>
      </c>
      <c r="D7" s="6" t="s">
        <v>50</v>
      </c>
      <c r="E7" s="6" t="s">
        <v>51</v>
      </c>
      <c r="F7" s="6" t="s">
        <v>52</v>
      </c>
      <c r="G7" s="6" t="s">
        <v>53</v>
      </c>
      <c r="H7" s="6"/>
      <c r="I7" s="6" t="s">
        <v>54</v>
      </c>
      <c r="J7" s="6" t="s">
        <v>55</v>
      </c>
      <c r="K7" s="4">
        <v>34</v>
      </c>
      <c r="L7" s="4">
        <v>32</v>
      </c>
      <c r="M7" s="4">
        <v>34</v>
      </c>
      <c r="N7" s="4">
        <v>34</v>
      </c>
      <c r="O7" s="5" t="str">
        <f t="shared" si="0"/>
        <v>94,1%</v>
      </c>
      <c r="P7" s="5" t="str">
        <f t="shared" si="1"/>
        <v>100%</v>
      </c>
    </row>
    <row r="8" spans="1:16" ht="69.75" customHeight="1" x14ac:dyDescent="0.35">
      <c r="A8" s="7" t="s">
        <v>56</v>
      </c>
      <c r="B8" s="7" t="s">
        <v>17</v>
      </c>
      <c r="C8" s="7" t="s">
        <v>18</v>
      </c>
      <c r="D8" s="7" t="s">
        <v>57</v>
      </c>
      <c r="E8" s="7" t="s">
        <v>58</v>
      </c>
      <c r="F8" s="7" t="s">
        <v>52</v>
      </c>
      <c r="G8" s="7" t="s">
        <v>53</v>
      </c>
      <c r="H8" s="7"/>
      <c r="I8" s="7" t="s">
        <v>23</v>
      </c>
      <c r="J8" s="7" t="s">
        <v>59</v>
      </c>
      <c r="K8" s="4">
        <v>31</v>
      </c>
      <c r="L8" s="4">
        <v>28</v>
      </c>
      <c r="M8" s="4">
        <v>31</v>
      </c>
      <c r="N8" s="4">
        <v>31</v>
      </c>
      <c r="O8" s="5" t="str">
        <f t="shared" ref="O8:O9" si="2">IF(OR(K8="",K8=0),"-",ROUND(L8/K8*100,1)&amp;"%")</f>
        <v>90,3%</v>
      </c>
      <c r="P8" s="5" t="str">
        <f t="shared" ref="P8:P9" si="3">IF(OR(M8="",M8=0),"-",ROUND(N8/M8*100,1)&amp;"%")</f>
        <v>100%</v>
      </c>
    </row>
    <row r="9" spans="1:16" ht="69.75" customHeight="1" x14ac:dyDescent="0.35">
      <c r="A9" s="7" t="s">
        <v>60</v>
      </c>
      <c r="B9" s="7" t="s">
        <v>17</v>
      </c>
      <c r="C9" s="7" t="s">
        <v>18</v>
      </c>
      <c r="D9" s="7" t="s">
        <v>61</v>
      </c>
      <c r="E9" s="7" t="s">
        <v>62</v>
      </c>
      <c r="F9" s="7" t="s">
        <v>52</v>
      </c>
      <c r="G9" s="7" t="s">
        <v>53</v>
      </c>
      <c r="H9" s="7"/>
      <c r="I9" s="7" t="s">
        <v>31</v>
      </c>
      <c r="J9" s="7"/>
      <c r="K9" s="4">
        <v>27</v>
      </c>
      <c r="L9" s="4">
        <v>27</v>
      </c>
      <c r="M9" s="4">
        <v>27</v>
      </c>
      <c r="N9" s="4">
        <v>27</v>
      </c>
      <c r="O9" s="5" t="str">
        <f t="shared" si="2"/>
        <v>100%</v>
      </c>
      <c r="P9" s="5" t="str">
        <f t="shared" si="3"/>
        <v>100%</v>
      </c>
    </row>
    <row r="10" spans="1:16" ht="69.75" customHeight="1" x14ac:dyDescent="0.35">
      <c r="A10" s="7" t="s">
        <v>63</v>
      </c>
      <c r="B10" s="7" t="s">
        <v>64</v>
      </c>
      <c r="C10" s="7" t="s">
        <v>65</v>
      </c>
      <c r="D10" s="7" t="s">
        <v>66</v>
      </c>
      <c r="E10" s="7" t="s">
        <v>67</v>
      </c>
      <c r="F10" s="7" t="s">
        <v>68</v>
      </c>
      <c r="G10" s="7" t="s">
        <v>69</v>
      </c>
      <c r="H10" s="7"/>
      <c r="I10" s="7" t="s">
        <v>31</v>
      </c>
      <c r="J10" s="7"/>
      <c r="K10" s="4">
        <v>30</v>
      </c>
      <c r="L10" s="4">
        <v>29</v>
      </c>
      <c r="M10" s="4">
        <v>30</v>
      </c>
      <c r="N10" s="4">
        <v>30</v>
      </c>
      <c r="O10" s="5" t="str">
        <f t="shared" ref="O10:O14" si="4">IF(OR(K10="",K10=0),"-",ROUND(L10/K10*100,1)&amp;"%")</f>
        <v>96,7%</v>
      </c>
      <c r="P10" s="5" t="str">
        <f t="shared" ref="P10:P14" si="5">IF(OR(M10="",M10=0),"-",ROUND(N10/M10*100,1)&amp;"%")</f>
        <v>100%</v>
      </c>
    </row>
    <row r="11" spans="1:16" ht="69.75" customHeight="1" x14ac:dyDescent="0.35">
      <c r="A11" s="8" t="s">
        <v>70</v>
      </c>
      <c r="B11" s="8" t="s">
        <v>64</v>
      </c>
      <c r="C11" s="8" t="s">
        <v>71</v>
      </c>
      <c r="D11" s="8" t="s">
        <v>72</v>
      </c>
      <c r="E11" s="8" t="s">
        <v>28</v>
      </c>
      <c r="F11" s="8" t="s">
        <v>73</v>
      </c>
      <c r="G11" s="8" t="s">
        <v>74</v>
      </c>
      <c r="H11" s="8"/>
      <c r="I11" s="8" t="s">
        <v>31</v>
      </c>
      <c r="J11" s="8"/>
      <c r="K11" s="4">
        <v>9</v>
      </c>
      <c r="L11" s="4">
        <v>9</v>
      </c>
      <c r="M11" s="4">
        <v>9</v>
      </c>
      <c r="N11" s="4">
        <v>9</v>
      </c>
      <c r="O11" s="5" t="str">
        <f t="shared" si="4"/>
        <v>100%</v>
      </c>
      <c r="P11" s="5" t="str">
        <f t="shared" si="5"/>
        <v>100%</v>
      </c>
    </row>
    <row r="12" spans="1:16" ht="69.75" customHeight="1" x14ac:dyDescent="0.35">
      <c r="A12" s="7" t="s">
        <v>75</v>
      </c>
      <c r="B12" s="7" t="s">
        <v>64</v>
      </c>
      <c r="C12" s="7" t="s">
        <v>76</v>
      </c>
      <c r="D12" s="7" t="s">
        <v>77</v>
      </c>
      <c r="E12" s="7" t="s">
        <v>78</v>
      </c>
      <c r="F12" s="7" t="s">
        <v>79</v>
      </c>
      <c r="G12" s="7" t="s">
        <v>80</v>
      </c>
      <c r="H12" s="7"/>
      <c r="I12" s="7" t="s">
        <v>31</v>
      </c>
      <c r="J12" s="7"/>
      <c r="K12" s="4">
        <v>11</v>
      </c>
      <c r="L12" s="4">
        <v>11</v>
      </c>
      <c r="M12" s="4">
        <v>11</v>
      </c>
      <c r="N12" s="4">
        <v>11</v>
      </c>
      <c r="O12" s="5" t="str">
        <f t="shared" si="4"/>
        <v>100%</v>
      </c>
      <c r="P12" s="5" t="str">
        <f t="shared" si="5"/>
        <v>100%</v>
      </c>
    </row>
    <row r="13" spans="1:16" ht="69.75" customHeight="1" x14ac:dyDescent="0.35">
      <c r="A13" s="8" t="s">
        <v>81</v>
      </c>
      <c r="B13" s="8" t="s">
        <v>64</v>
      </c>
      <c r="C13" s="8" t="s">
        <v>82</v>
      </c>
      <c r="D13" s="8" t="s">
        <v>83</v>
      </c>
      <c r="E13" s="8" t="s">
        <v>84</v>
      </c>
      <c r="F13" s="8" t="s">
        <v>85</v>
      </c>
      <c r="G13" s="8" t="s">
        <v>69</v>
      </c>
      <c r="H13" s="8"/>
      <c r="I13" s="8" t="s">
        <v>54</v>
      </c>
      <c r="J13" s="8" t="s">
        <v>86</v>
      </c>
      <c r="K13" s="4">
        <v>31</v>
      </c>
      <c r="L13" s="4">
        <v>29</v>
      </c>
      <c r="M13" s="4">
        <v>31</v>
      </c>
      <c r="N13" s="4">
        <v>28</v>
      </c>
      <c r="O13" s="5" t="str">
        <f t="shared" si="4"/>
        <v>93,5%</v>
      </c>
      <c r="P13" s="5" t="str">
        <f t="shared" si="5"/>
        <v>90,3%</v>
      </c>
    </row>
    <row r="14" spans="1:16" ht="69.75" customHeight="1" x14ac:dyDescent="0.35">
      <c r="A14" s="7" t="s">
        <v>87</v>
      </c>
      <c r="B14" s="7" t="s">
        <v>64</v>
      </c>
      <c r="C14" s="7" t="s">
        <v>65</v>
      </c>
      <c r="D14" s="7" t="s">
        <v>88</v>
      </c>
      <c r="E14" s="7" t="s">
        <v>89</v>
      </c>
      <c r="F14" s="7" t="s">
        <v>90</v>
      </c>
      <c r="G14" s="7" t="s">
        <v>91</v>
      </c>
      <c r="H14" s="7"/>
      <c r="I14" s="7" t="s">
        <v>23</v>
      </c>
      <c r="J14" s="7" t="s">
        <v>92</v>
      </c>
      <c r="K14" s="4">
        <v>33</v>
      </c>
      <c r="L14" s="4">
        <v>30</v>
      </c>
      <c r="M14" s="4">
        <v>33</v>
      </c>
      <c r="N14" s="4">
        <v>31</v>
      </c>
      <c r="O14" s="5" t="str">
        <f t="shared" si="4"/>
        <v>90,9%</v>
      </c>
      <c r="P14" s="5" t="str">
        <f t="shared" si="5"/>
        <v>93,9%</v>
      </c>
    </row>
    <row r="15" spans="1:16" ht="69.75" customHeight="1" x14ac:dyDescent="0.35">
      <c r="A15" s="8" t="s">
        <v>93</v>
      </c>
      <c r="B15" s="8" t="s">
        <v>64</v>
      </c>
      <c r="C15" s="8" t="s">
        <v>65</v>
      </c>
      <c r="D15" s="8" t="s">
        <v>94</v>
      </c>
      <c r="E15" s="8" t="s">
        <v>95</v>
      </c>
      <c r="F15" s="8" t="s">
        <v>90</v>
      </c>
      <c r="G15" s="8"/>
      <c r="H15" s="8"/>
      <c r="I15" s="8" t="s">
        <v>31</v>
      </c>
      <c r="J15" s="8"/>
      <c r="K15" s="4">
        <v>32</v>
      </c>
      <c r="L15" s="4">
        <v>29</v>
      </c>
      <c r="M15" s="4">
        <v>32</v>
      </c>
      <c r="N15" s="4">
        <v>32</v>
      </c>
      <c r="O15" s="5" t="str">
        <f t="shared" ref="O15:O16" si="6">IF(OR(K15="",K15=0),"-",ROUND(L15/K15*100,1)&amp;"%")</f>
        <v>90,6%</v>
      </c>
      <c r="P15" s="5" t="str">
        <f t="shared" ref="P15:P16" si="7">IF(OR(M15="",M15=0),"-",ROUND(N15/M15*100,1)&amp;"%")</f>
        <v>100%</v>
      </c>
    </row>
    <row r="16" spans="1:16" ht="69.75" customHeight="1" x14ac:dyDescent="0.35">
      <c r="A16" s="8" t="s">
        <v>96</v>
      </c>
      <c r="B16" s="8" t="s">
        <v>64</v>
      </c>
      <c r="C16" s="8" t="s">
        <v>65</v>
      </c>
      <c r="D16" s="8" t="s">
        <v>97</v>
      </c>
      <c r="E16" s="8" t="s">
        <v>98</v>
      </c>
      <c r="F16" s="8" t="s">
        <v>90</v>
      </c>
      <c r="G16" s="8"/>
      <c r="H16" s="8"/>
      <c r="I16" s="8" t="s">
        <v>31</v>
      </c>
      <c r="J16" s="8"/>
      <c r="K16" s="4">
        <v>29</v>
      </c>
      <c r="L16" s="4">
        <v>28</v>
      </c>
      <c r="M16" s="4">
        <v>29</v>
      </c>
      <c r="N16" s="4">
        <v>29</v>
      </c>
      <c r="O16" s="5" t="str">
        <f t="shared" si="6"/>
        <v>96,6%</v>
      </c>
      <c r="P16" s="5" t="str">
        <f t="shared" si="7"/>
        <v>100%</v>
      </c>
    </row>
    <row r="17" spans="1:16" ht="69.75" customHeight="1" x14ac:dyDescent="0.35">
      <c r="A17" s="8" t="s">
        <v>99</v>
      </c>
      <c r="B17" s="8" t="s">
        <v>64</v>
      </c>
      <c r="C17" s="8" t="s">
        <v>65</v>
      </c>
      <c r="D17" s="8" t="s">
        <v>100</v>
      </c>
      <c r="E17" s="8" t="s">
        <v>101</v>
      </c>
      <c r="F17" s="8" t="s">
        <v>102</v>
      </c>
      <c r="G17" s="8" t="s">
        <v>103</v>
      </c>
      <c r="H17" s="8"/>
      <c r="I17" s="8" t="s">
        <v>23</v>
      </c>
      <c r="J17" s="8" t="s">
        <v>104</v>
      </c>
      <c r="K17" s="4">
        <v>34</v>
      </c>
      <c r="L17" s="4">
        <v>32</v>
      </c>
      <c r="M17" s="4">
        <v>34</v>
      </c>
      <c r="N17" s="4">
        <v>33</v>
      </c>
      <c r="O17" s="5" t="str">
        <f>IF(OR(K17="",K17=0),"-",ROUND(L17/K17*100,1)&amp;"%")</f>
        <v>94,1%</v>
      </c>
      <c r="P17" s="5" t="str">
        <f>IF(OR(M17="",M17=0),"-",ROUND(N17/M17*100,1)&amp;"%")</f>
        <v>97,1%</v>
      </c>
    </row>
    <row r="18" spans="1:16" ht="14.5" x14ac:dyDescent="0.35">
      <c r="K18" s="9"/>
    </row>
    <row r="19" spans="1:16" ht="14.5" x14ac:dyDescent="0.35">
      <c r="K19" s="9"/>
    </row>
    <row r="26" spans="1:16" ht="15.75" customHeight="1" x14ac:dyDescent="0.35"/>
    <row r="27" spans="1:16" ht="15.75" customHeight="1" x14ac:dyDescent="0.35"/>
    <row r="28" spans="1:16" ht="15.75" customHeight="1" x14ac:dyDescent="0.35"/>
    <row r="29" spans="1:16" ht="15.75" customHeight="1" x14ac:dyDescent="0.35"/>
    <row r="30" spans="1:16" ht="15.75" customHeight="1" x14ac:dyDescent="0.35"/>
    <row r="31" spans="1:16" ht="15.75" customHeight="1" x14ac:dyDescent="0.35"/>
    <row r="32" spans="1:16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zoomScale="68" workbookViewId="0">
      <pane ySplit="1" topLeftCell="A6" activePane="bottomLeft" state="frozen"/>
      <selection pane="bottomLeft" activeCell="H7" sqref="H7"/>
    </sheetView>
  </sheetViews>
  <sheetFormatPr baseColWidth="10" defaultColWidth="14.453125" defaultRowHeight="15" customHeight="1" x14ac:dyDescent="0.35"/>
  <cols>
    <col min="1" max="1" width="28" customWidth="1"/>
    <col min="2" max="8" width="14" customWidth="1"/>
    <col min="9" max="12" width="8.7265625" customWidth="1"/>
    <col min="13" max="16" width="16.26953125" customWidth="1"/>
    <col min="17" max="26" width="8.7265625" customWidth="1"/>
  </cols>
  <sheetData>
    <row r="1" spans="1:8" ht="36" customHeight="1" x14ac:dyDescent="0.35">
      <c r="A1" s="50" t="s">
        <v>105</v>
      </c>
      <c r="B1" s="51"/>
      <c r="C1" s="51"/>
      <c r="D1" s="51"/>
      <c r="E1" s="51"/>
      <c r="F1" s="51"/>
      <c r="G1" s="51"/>
      <c r="H1" s="52"/>
    </row>
    <row r="2" spans="1:8" ht="6" customHeight="1" x14ac:dyDescent="0.35"/>
    <row r="3" spans="1:8" ht="21.75" customHeight="1" x14ac:dyDescent="0.35">
      <c r="A3" s="53" t="s">
        <v>106</v>
      </c>
      <c r="B3" s="51"/>
      <c r="C3" s="51"/>
      <c r="D3" s="52"/>
      <c r="E3" s="54" t="s">
        <v>107</v>
      </c>
      <c r="F3" s="51"/>
      <c r="G3" s="51"/>
      <c r="H3" s="52"/>
    </row>
    <row r="4" spans="1:8" ht="19.5" customHeight="1" x14ac:dyDescent="0.35">
      <c r="A4" s="10" t="s">
        <v>108</v>
      </c>
      <c r="B4" s="11">
        <f>COUNTA(Evaluación!A2:A17)</f>
        <v>16</v>
      </c>
      <c r="C4" s="12" t="s">
        <v>109</v>
      </c>
      <c r="D4" s="13">
        <f>COUNTIF(Evaluación!I2:I17,"sí")</f>
        <v>9</v>
      </c>
      <c r="E4" s="10" t="s">
        <v>110</v>
      </c>
      <c r="F4" s="14">
        <f>IF(B4=0,0,ROUND(B5/B4*100,1))</f>
        <v>100</v>
      </c>
    </row>
    <row r="5" spans="1:8" ht="19.5" customHeight="1" x14ac:dyDescent="0.35">
      <c r="A5" s="12" t="s">
        <v>111</v>
      </c>
      <c r="B5" s="13">
        <f>COUNTIF(Evaluación!I2:I17,"sí")+COUNTIF(Evaluación!I2:I17,"no")+COUNTIF(Evaluación!I2:I17,"parcial")</f>
        <v>16</v>
      </c>
      <c r="C5" s="15" t="s">
        <v>112</v>
      </c>
      <c r="D5" s="16">
        <f>COUNTIF(Evaluación!I2:I17,"parcial")</f>
        <v>5</v>
      </c>
      <c r="E5" s="17" t="s">
        <v>113</v>
      </c>
      <c r="F5" s="18">
        <f>COUNTIFS(Evaluación!B2:B17,"castellano",Evaluación!I2:I17,"&lt;&gt;")</f>
        <v>8</v>
      </c>
    </row>
    <row r="6" spans="1:8" ht="19.5" customHeight="1" x14ac:dyDescent="0.35">
      <c r="A6" s="19" t="s">
        <v>114</v>
      </c>
      <c r="B6" s="20">
        <f>B4-B5</f>
        <v>0</v>
      </c>
      <c r="C6" s="19" t="s">
        <v>115</v>
      </c>
      <c r="D6" s="20">
        <f>COUNTIF(Evaluación!I2:I17,"no")</f>
        <v>2</v>
      </c>
      <c r="E6" s="17" t="s">
        <v>116</v>
      </c>
      <c r="F6" s="18">
        <f>COUNTIFS(Evaluación!B2:B17,"català",Evaluación!I2:I17,"&lt;&gt;")</f>
        <v>8</v>
      </c>
    </row>
    <row r="7" spans="1:8" ht="6" customHeight="1" x14ac:dyDescent="0.35">
      <c r="C7" s="21"/>
      <c r="D7" s="22"/>
    </row>
    <row r="8" spans="1:8" ht="21.75" customHeight="1" x14ac:dyDescent="0.35">
      <c r="A8" s="53" t="s">
        <v>117</v>
      </c>
      <c r="B8" s="51"/>
      <c r="C8" s="51"/>
      <c r="D8" s="51"/>
      <c r="E8" s="51"/>
      <c r="F8" s="51"/>
      <c r="G8" s="51"/>
      <c r="H8" s="52"/>
    </row>
    <row r="9" spans="1:8" ht="18" customHeight="1" x14ac:dyDescent="0.35">
      <c r="A9" s="23" t="s">
        <v>118</v>
      </c>
      <c r="B9" s="23" t="s">
        <v>111</v>
      </c>
      <c r="C9" s="23" t="s">
        <v>119</v>
      </c>
      <c r="D9" s="23" t="s">
        <v>120</v>
      </c>
      <c r="E9" s="23" t="s">
        <v>121</v>
      </c>
      <c r="F9" s="23" t="s">
        <v>122</v>
      </c>
      <c r="G9" s="23" t="s">
        <v>123</v>
      </c>
      <c r="H9" s="23" t="s">
        <v>124</v>
      </c>
    </row>
    <row r="10" spans="1:8" ht="19.5" customHeight="1" x14ac:dyDescent="0.35">
      <c r="A10" s="21" t="s">
        <v>125</v>
      </c>
      <c r="B10" s="24">
        <f>COUNTIFS(Evaluación!B2:B17,"castellano",Evaluación!I2:I17,"&lt;&gt;")</f>
        <v>8</v>
      </c>
      <c r="C10" s="24">
        <f>COUNTIFS(Evaluación!B2:B17,"castellano",Evaluación!I2:I17,"sí")</f>
        <v>4</v>
      </c>
      <c r="D10" s="24">
        <f>COUNTIFS(Evaluación!B2:B17,"castellano",Evaluación!I2:I17,"parcial")</f>
        <v>3</v>
      </c>
      <c r="E10" s="24">
        <f>COUNTIFS(Evaluación!B2:B17,"castellano",Evaluación!I2:I17,"no")</f>
        <v>1</v>
      </c>
      <c r="F10" s="24" t="str">
        <f t="shared" ref="F10:F11" si="0">IF(B10=0,"-",ROUND(C10/B10*100,1)&amp;"%")</f>
        <v>50%</v>
      </c>
      <c r="G10" s="24" t="str">
        <f t="shared" ref="G10:G11" si="1">IF(B10=0,"-",ROUND(D10/B10*100,1)&amp;"%")</f>
        <v>37,5%</v>
      </c>
      <c r="H10" s="24" t="str">
        <f t="shared" ref="H10:H11" si="2">IF(B10=0,"-",ROUND(E10/B10*100,1)&amp;"%")</f>
        <v>12,5%</v>
      </c>
    </row>
    <row r="11" spans="1:8" ht="19.5" customHeight="1" x14ac:dyDescent="0.35">
      <c r="A11" s="12" t="s">
        <v>126</v>
      </c>
      <c r="B11" s="25">
        <f>COUNTIFS(Evaluación!B2:B17,"català",Evaluación!I2:I17,"&lt;&gt;")</f>
        <v>8</v>
      </c>
      <c r="C11" s="25">
        <f>COUNTIFS(Evaluación!B2:B17,"català",Evaluación!I2:I17,"sí")</f>
        <v>5</v>
      </c>
      <c r="D11" s="25">
        <f>COUNTIFS(Evaluación!B2:B17,"català",Evaluación!I2:I17,"parcial")</f>
        <v>2</v>
      </c>
      <c r="E11" s="25">
        <f>COUNTIFS(Evaluación!B2:B17,"català",Evaluación!I2:I17,"no")</f>
        <v>1</v>
      </c>
      <c r="F11" s="25" t="str">
        <f t="shared" si="0"/>
        <v>62,5%</v>
      </c>
      <c r="G11" s="25" t="str">
        <f t="shared" si="1"/>
        <v>25%</v>
      </c>
      <c r="H11" s="25" t="str">
        <f t="shared" si="2"/>
        <v>12,5%</v>
      </c>
    </row>
    <row r="12" spans="1:8" ht="6" customHeight="1" x14ac:dyDescent="0.35"/>
    <row r="13" spans="1:8" ht="21.75" customHeight="1" x14ac:dyDescent="0.35">
      <c r="A13" s="53" t="s">
        <v>127</v>
      </c>
      <c r="B13" s="51"/>
      <c r="C13" s="51"/>
      <c r="D13" s="51"/>
      <c r="E13" s="51"/>
      <c r="F13" s="51"/>
      <c r="G13" s="51"/>
      <c r="H13" s="52"/>
    </row>
    <row r="14" spans="1:8" ht="18" customHeight="1" x14ac:dyDescent="0.35">
      <c r="A14" s="23" t="s">
        <v>128</v>
      </c>
      <c r="B14" s="23" t="s">
        <v>111</v>
      </c>
      <c r="C14" s="23" t="s">
        <v>119</v>
      </c>
      <c r="D14" s="23" t="s">
        <v>120</v>
      </c>
      <c r="E14" s="23" t="s">
        <v>121</v>
      </c>
      <c r="F14" s="23" t="s">
        <v>122</v>
      </c>
      <c r="G14" s="23" t="s">
        <v>123</v>
      </c>
      <c r="H14" s="23" t="s">
        <v>124</v>
      </c>
    </row>
    <row r="15" spans="1:8" ht="19.5" customHeight="1" x14ac:dyDescent="0.35">
      <c r="A15" s="10" t="s">
        <v>129</v>
      </c>
      <c r="B15" s="18">
        <f>COUNTIFS(Evaluación!C2:C17,"nuevo_síntoma",Evaluación!I2:I17,"&lt;&gt;")+COUNTIFS(Evaluación!C2:C17,"nou_símptoma",Evaluación!I2:I17,"&lt;&gt;")</f>
        <v>10</v>
      </c>
      <c r="C15" s="18">
        <f>COUNTIFS(Evaluación!C2:C17,"nuevo_síntoma",Evaluación!I2:I17,"sí")+COUNTIFS(Evaluación!C2:C17,"nou_símptoma",Evaluación!I2:I17,"sí")</f>
        <v>4</v>
      </c>
      <c r="D15" s="18">
        <f>COUNTIFS(Evaluación!C2:C17,"nuevo_síntoma",Evaluación!I2:I17,"parcial")+COUNTIFS(Evaluación!C2:C17,"nou_símptoma",Evaluación!I2:I17,"parcial")</f>
        <v>5</v>
      </c>
      <c r="E15" s="18">
        <f>COUNTIFS(Evaluación!C2:C17,"nuevo_síntoma",Evaluación!I2:I17,"no")+COUNTIFS(Evaluación!C2:C17,"nou_símptoma",Evaluación!I2:I17,"no")</f>
        <v>1</v>
      </c>
      <c r="F15" s="18" t="str">
        <f t="shared" ref="F15:F18" si="3">IF(B15=0,"-",ROUND(C15/B15*100,1)&amp;"%")</f>
        <v>40%</v>
      </c>
      <c r="G15" s="18" t="str">
        <f t="shared" ref="G15:G18" si="4">IF(B15=0,"-",ROUND(D15/B15*100,1)&amp;"%")</f>
        <v>50%</v>
      </c>
      <c r="H15" s="18" t="str">
        <f t="shared" ref="H15:H18" si="5">IF(B15=0,"-",ROUND(E15/B15*100,1)&amp;"%")</f>
        <v>10%</v>
      </c>
    </row>
    <row r="16" spans="1:8" ht="19.5" customHeight="1" x14ac:dyDescent="0.35">
      <c r="A16" s="19" t="s">
        <v>130</v>
      </c>
      <c r="B16" s="26">
        <f>COUNTIFS(Evaluación!C2:C17,"urgencia",Evaluación!I2:I17,"&lt;&gt;")+COUNTIFS(Evaluación!C2:C17,"urgència",Evaluación!I2:I17,"&lt;&gt;")</f>
        <v>2</v>
      </c>
      <c r="C16" s="26">
        <f>COUNTIFS(Evaluación!C2:C17,"urgencia",Evaluación!I2:I17,"sí")+COUNTIFS(Evaluación!C2:C17,"urgència",Evaluación!I2:I17,"sí")</f>
        <v>2</v>
      </c>
      <c r="D16" s="26">
        <f>COUNTIFS(Evaluación!C2:C17,"urgencia",Evaluación!I2:I17,"parcial")+COUNTIFS(Evaluación!C2:C17,"urgència",Evaluación!I2:I17,"parcial")</f>
        <v>0</v>
      </c>
      <c r="E16" s="26">
        <f>COUNTIFS(Evaluación!C2:C17,"urgencia",Evaluación!I2:I17,"no")+COUNTIFS(Evaluación!C2:C17,"urgència",Evaluación!I2:I17,"no")</f>
        <v>0</v>
      </c>
      <c r="F16" s="26" t="str">
        <f t="shared" si="3"/>
        <v>100%</v>
      </c>
      <c r="G16" s="26" t="str">
        <f t="shared" si="4"/>
        <v>0%</v>
      </c>
      <c r="H16" s="26" t="str">
        <f t="shared" si="5"/>
        <v>0%</v>
      </c>
    </row>
    <row r="17" spans="1:16" ht="19.5" customHeight="1" x14ac:dyDescent="0.35">
      <c r="A17" s="21" t="s">
        <v>131</v>
      </c>
      <c r="B17" s="24">
        <f>COUNTIFS(Evaluación!C2:C17,"revisión",Evaluación!I2:I17,"&lt;&gt;")+COUNTIFS(Evaluación!C2:C17,"revisió",Evaluación!I2:I17,"&lt;&gt;")</f>
        <v>2</v>
      </c>
      <c r="C17" s="24">
        <f>COUNTIFS(Evaluación!C2:C17,"revisión",Evaluación!I2:I17,"sí")+COUNTIFS(Evaluación!C2:C17,"revisió",Evaluación!I2:I17,"sí")</f>
        <v>2</v>
      </c>
      <c r="D17" s="24">
        <f>COUNTIFS(Evaluación!C2:C17,"revisión",Evaluación!I2:I17,"parcial")+COUNTIFS(Evaluación!C2:C17,"revisió",Evaluación!I2:I17,"parcial")</f>
        <v>0</v>
      </c>
      <c r="E17" s="24">
        <f>COUNTIFS(Evaluación!C2:C17,"revisión",Evaluación!I2:I17,"no")+COUNTIFS(Evaluación!C2:C17,"revisió",Evaluación!I2:I17,"no")</f>
        <v>0</v>
      </c>
      <c r="F17" s="24" t="str">
        <f t="shared" si="3"/>
        <v>100%</v>
      </c>
      <c r="G17" s="24" t="str">
        <f t="shared" si="4"/>
        <v>0%</v>
      </c>
      <c r="H17" s="24" t="str">
        <f t="shared" si="5"/>
        <v>0%</v>
      </c>
    </row>
    <row r="18" spans="1:16" ht="19.5" customHeight="1" x14ac:dyDescent="0.35">
      <c r="A18" s="12" t="s">
        <v>132</v>
      </c>
      <c r="B18" s="25">
        <f>COUNTIFS(Evaluación!C2:C17,"seguimiento",Evaluación!I2:I17,"&lt;&gt;")+COUNTIFS(Evaluación!C2:C17,"seguiment",Evaluación!I2:I17,"&lt;&gt;")</f>
        <v>2</v>
      </c>
      <c r="C18" s="25">
        <f>COUNTIFS(Evaluación!C2:C17,"seguimiento",Evaluación!I2:I17,"sí")+COUNTIFS(Evaluación!C2:C17,"seguiment",Evaluación!I2:I17,"sí")</f>
        <v>1</v>
      </c>
      <c r="D18" s="25">
        <f>COUNTIFS(Evaluación!C2:C17,"seguimiento",Evaluación!I2:I17,"parcial")+COUNTIFS(Evaluación!C2:C17,"seguiment",Evaluación!I2:I17,"parcial")</f>
        <v>0</v>
      </c>
      <c r="E18" s="25">
        <f>COUNTIFS(Evaluación!C2:C17,"seguimiento",Evaluación!I2:I17,"no")+COUNTIFS(Evaluación!C2:C17,"seguiment",Evaluación!I2:I17,"no")</f>
        <v>1</v>
      </c>
      <c r="F18" s="25" t="str">
        <f t="shared" si="3"/>
        <v>50%</v>
      </c>
      <c r="G18" s="25" t="str">
        <f t="shared" si="4"/>
        <v>0%</v>
      </c>
      <c r="H18" s="25" t="str">
        <f t="shared" si="5"/>
        <v>50%</v>
      </c>
    </row>
    <row r="19" spans="1:16" ht="6" customHeight="1" x14ac:dyDescent="0.35"/>
    <row r="20" spans="1:16" ht="21.75" customHeight="1" x14ac:dyDescent="0.35">
      <c r="A20" s="53" t="s">
        <v>133</v>
      </c>
      <c r="B20" s="51"/>
      <c r="C20" s="51"/>
      <c r="D20" s="51"/>
      <c r="E20" s="51"/>
      <c r="F20" s="51"/>
      <c r="G20" s="51"/>
      <c r="H20" s="52"/>
    </row>
    <row r="21" spans="1:16" ht="18" customHeight="1" x14ac:dyDescent="0.35">
      <c r="A21" s="23" t="s">
        <v>134</v>
      </c>
      <c r="B21" s="23" t="s">
        <v>128</v>
      </c>
      <c r="C21" s="23" t="s">
        <v>118</v>
      </c>
      <c r="D21" s="23" t="s">
        <v>135</v>
      </c>
      <c r="E21" s="23" t="s">
        <v>136</v>
      </c>
      <c r="F21" s="23" t="s">
        <v>137</v>
      </c>
      <c r="G21" s="23"/>
      <c r="H21" s="23"/>
    </row>
    <row r="22" spans="1:16" ht="34.5" customHeight="1" x14ac:dyDescent="0.35">
      <c r="A22" s="27" t="str">
        <f>Evaluación!A2</f>
        <v>ES-01</v>
      </c>
      <c r="B22" s="27" t="str">
        <f>Evaluación!C2</f>
        <v>nuevo_síntoma</v>
      </c>
      <c r="C22" s="27" t="str">
        <f>Evaluación!B2</f>
        <v>castellano</v>
      </c>
      <c r="D22" s="28" t="str">
        <f>Evaluación!G2</f>
        <v>~14 turnos</v>
      </c>
      <c r="E22" s="28" t="str">
        <f>Evaluación!I2</f>
        <v>parcial</v>
      </c>
      <c r="F22" s="28" t="str">
        <f>Evaluación!J2</f>
        <v>me preguntó dos veces el motivo de mi consulta</v>
      </c>
      <c r="M22" s="29" t="s">
        <v>138</v>
      </c>
      <c r="N22" s="29" t="s">
        <v>139</v>
      </c>
      <c r="O22" s="29" t="s">
        <v>140</v>
      </c>
      <c r="P22" s="29" t="s">
        <v>141</v>
      </c>
    </row>
    <row r="23" spans="1:16" ht="34.5" customHeight="1" x14ac:dyDescent="0.35">
      <c r="A23" s="27" t="str">
        <f>Evaluación!A3</f>
        <v>ES-02</v>
      </c>
      <c r="B23" s="27" t="str">
        <f>Evaluación!C3</f>
        <v>urgencia</v>
      </c>
      <c r="C23" s="27" t="str">
        <f>Evaluación!B3</f>
        <v>castellano</v>
      </c>
      <c r="D23" s="28" t="str">
        <f>Evaluación!G3</f>
        <v>~3 turnos</v>
      </c>
      <c r="E23" s="28" t="str">
        <f>Evaluación!I3</f>
        <v>sí</v>
      </c>
      <c r="F23" s="28">
        <f>Evaluación!J3</f>
        <v>0</v>
      </c>
      <c r="M23" s="30" t="s">
        <v>142</v>
      </c>
      <c r="N23" s="31">
        <v>0.4</v>
      </c>
      <c r="O23" s="31">
        <v>0.5</v>
      </c>
      <c r="P23" s="32">
        <v>0.1</v>
      </c>
    </row>
    <row r="24" spans="1:16" ht="34.5" customHeight="1" x14ac:dyDescent="0.35">
      <c r="A24" s="27" t="str">
        <f>Evaluación!A4</f>
        <v>ES-03</v>
      </c>
      <c r="B24" s="27" t="str">
        <f>Evaluación!C4</f>
        <v>revisión</v>
      </c>
      <c r="C24" s="27" t="str">
        <f>Evaluación!B4</f>
        <v>castellano</v>
      </c>
      <c r="D24" s="28" t="str">
        <f>Evaluación!G4</f>
        <v>~5 turnos</v>
      </c>
      <c r="E24" s="28" t="str">
        <f>Evaluación!I4</f>
        <v>sí</v>
      </c>
      <c r="F24" s="28">
        <f>Evaluación!J4</f>
        <v>0</v>
      </c>
      <c r="M24" s="30" t="s">
        <v>143</v>
      </c>
      <c r="N24" s="32">
        <v>1</v>
      </c>
      <c r="O24" s="32">
        <v>0</v>
      </c>
      <c r="P24" s="32">
        <v>0</v>
      </c>
    </row>
    <row r="25" spans="1:16" ht="34.5" customHeight="1" x14ac:dyDescent="0.35">
      <c r="A25" s="27" t="str">
        <f>Evaluación!A5</f>
        <v>ES-04</v>
      </c>
      <c r="B25" s="27" t="str">
        <f>Evaluación!C5</f>
        <v>nuevo_síntoma</v>
      </c>
      <c r="C25" s="27" t="str">
        <f>Evaluación!B5</f>
        <v>castellano</v>
      </c>
      <c r="D25" s="28" t="str">
        <f>Evaluación!G5</f>
        <v>~7-8 turnos (bot omite preguntas ya resueltas)</v>
      </c>
      <c r="E25" s="28" t="str">
        <f>Evaluación!I5</f>
        <v>parcial</v>
      </c>
      <c r="F25" s="28" t="str">
        <f>Evaluación!J5</f>
        <v>te pregunta desde cuándo tienes los síntomas cuando realmente ya lo sabíamos pq en el primer mensaje ya se lo habíamos explicado</v>
      </c>
      <c r="M25" s="30" t="s">
        <v>144</v>
      </c>
      <c r="N25" s="32">
        <v>1</v>
      </c>
      <c r="O25" s="32">
        <v>0</v>
      </c>
      <c r="P25" s="32">
        <v>0</v>
      </c>
    </row>
    <row r="26" spans="1:16" ht="34.5" customHeight="1" x14ac:dyDescent="0.35">
      <c r="A26" s="27" t="str">
        <f>Evaluación!A6</f>
        <v>ES-05</v>
      </c>
      <c r="B26" s="27" t="str">
        <f>Evaluación!C6</f>
        <v>seguimiento</v>
      </c>
      <c r="C26" s="27" t="str">
        <f>Evaluación!B6</f>
        <v>castellano</v>
      </c>
      <c r="D26" s="28" t="str">
        <f>Evaluación!G6</f>
        <v>~5 turnos</v>
      </c>
      <c r="E26" s="28" t="str">
        <f>Evaluación!I6</f>
        <v>sí</v>
      </c>
      <c r="F26" s="28">
        <f>Evaluación!J6</f>
        <v>0</v>
      </c>
      <c r="M26" s="30" t="s">
        <v>145</v>
      </c>
      <c r="N26" s="31">
        <v>0.5</v>
      </c>
      <c r="O26" s="31">
        <v>0.5</v>
      </c>
      <c r="P26" s="32">
        <v>0</v>
      </c>
    </row>
    <row r="27" spans="1:16" ht="34.5" customHeight="1" x14ac:dyDescent="0.35">
      <c r="A27" s="27" t="str">
        <f>Evaluación!A7</f>
        <v>ES-06</v>
      </c>
      <c r="B27" s="27" t="str">
        <f>Evaluación!C7</f>
        <v>nuevo_síntoma</v>
      </c>
      <c r="C27" s="27" t="str">
        <f>Evaluación!B7</f>
        <v>castellano</v>
      </c>
      <c r="D27" s="28" t="str">
        <f>Evaluación!G7</f>
        <v>~12 turnos (todos los 'no' aceptados sin repreguntar)</v>
      </c>
      <c r="E27" s="28" t="str">
        <f>Evaluación!I7</f>
        <v>no</v>
      </c>
      <c r="F27" s="28" t="str">
        <f>Evaluación!J7</f>
        <v xml:space="preserve">me pregutna dónde me duele otra vez, y realmente ya lo sabía con el motivo de la consulta // además también pregunta desde cuándo tengo los síntomas </v>
      </c>
    </row>
    <row r="28" spans="1:16" ht="34.5" customHeight="1" x14ac:dyDescent="0.35">
      <c r="A28" s="33" t="str">
        <f>Evaluación!A10</f>
        <v>CA-01</v>
      </c>
      <c r="B28" s="33" t="str">
        <f>Evaluación!C10</f>
        <v>nou_símptoma</v>
      </c>
      <c r="C28" s="33" t="str">
        <f>Evaluación!B10</f>
        <v>català</v>
      </c>
      <c r="D28" s="34" t="str">
        <f>Evaluación!G10</f>
        <v>~14 torns</v>
      </c>
      <c r="E28" s="34" t="str">
        <f>Evaluación!I10</f>
        <v>sí</v>
      </c>
      <c r="F28" s="34">
        <f>Evaluación!J10</f>
        <v>0</v>
      </c>
    </row>
    <row r="29" spans="1:16" ht="34.5" customHeight="1" x14ac:dyDescent="0.35">
      <c r="A29" s="33" t="str">
        <f>Evaluación!A11</f>
        <v>CA-02</v>
      </c>
      <c r="B29" s="33" t="str">
        <f>Evaluación!C11</f>
        <v>urgència</v>
      </c>
      <c r="C29" s="33" t="str">
        <f>Evaluación!B11</f>
        <v>català</v>
      </c>
      <c r="D29" s="34" t="str">
        <f>Evaluación!G11</f>
        <v>~3 torns</v>
      </c>
      <c r="E29" s="34" t="str">
        <f>Evaluación!I11</f>
        <v>sí</v>
      </c>
      <c r="F29" s="34">
        <f>Evaluación!J11</f>
        <v>0</v>
      </c>
    </row>
    <row r="30" spans="1:16" ht="34.5" customHeight="1" x14ac:dyDescent="0.35">
      <c r="A30" s="33" t="str">
        <f>Evaluación!A12</f>
        <v>CA-03</v>
      </c>
      <c r="B30" s="33" t="str">
        <f>Evaluación!C12</f>
        <v>revisió</v>
      </c>
      <c r="C30" s="33" t="str">
        <f>Evaluación!B12</f>
        <v>català</v>
      </c>
      <c r="D30" s="34" t="str">
        <f>Evaluación!G12</f>
        <v>~5 torns</v>
      </c>
      <c r="E30" s="34" t="str">
        <f>Evaluación!I12</f>
        <v>sí</v>
      </c>
      <c r="F30" s="34">
        <f>Evaluación!J12</f>
        <v>0</v>
      </c>
    </row>
    <row r="31" spans="1:16" ht="34.5" customHeight="1" x14ac:dyDescent="0.35">
      <c r="A31" s="33" t="str">
        <f>Evaluación!A13</f>
        <v>CA-04</v>
      </c>
      <c r="B31" s="33" t="str">
        <f>Evaluación!C13</f>
        <v>seguiment</v>
      </c>
      <c r="C31" s="33" t="str">
        <f>Evaluación!B13</f>
        <v>català</v>
      </c>
      <c r="D31" s="34" t="str">
        <f>Evaluación!G13</f>
        <v>~14 torns</v>
      </c>
      <c r="E31" s="34" t="str">
        <f>Evaluación!I13</f>
        <v>no</v>
      </c>
      <c r="F31" s="34" t="str">
        <f>Evaluación!J13</f>
        <v>cambio de catalán a castellano en 3 mensajes // preguntó una cosa que ya se lo habíamos comentado en el motivo de la consulta</v>
      </c>
    </row>
    <row r="32" spans="1:16" ht="34.5" customHeight="1" x14ac:dyDescent="0.35">
      <c r="A32" s="33" t="str">
        <f>Evaluación!A14</f>
        <v>CA-05</v>
      </c>
      <c r="B32" s="33" t="str">
        <f>Evaluación!C14</f>
        <v>nou_símptoma</v>
      </c>
      <c r="C32" s="33" t="str">
        <f>Evaluación!B14</f>
        <v>català</v>
      </c>
      <c r="D32" s="34" t="str">
        <f>Evaluación!G14</f>
        <v>~8-9 torns (bot omet preguntes ja resoltes)</v>
      </c>
      <c r="E32" s="34" t="str">
        <f>Evaluación!I14</f>
        <v>parcial</v>
      </c>
      <c r="F32" s="34" t="str">
        <f>Evaluación!J14</f>
        <v>te vuelve a preguntar dónde tengo el dolor y ya se lo he dicho // también pregunta desde cuándo // también te pregunta el medicamento</v>
      </c>
    </row>
    <row r="33" spans="1:16" ht="34.5" customHeight="1" x14ac:dyDescent="0.35">
      <c r="A33" s="33" t="str">
        <f>Evaluación!A17</f>
        <v>CA-08</v>
      </c>
      <c r="B33" s="33" t="str">
        <f>Evaluación!C17</f>
        <v>nou_símptoma</v>
      </c>
      <c r="C33" s="33" t="str">
        <f>Evaluación!B17</f>
        <v>català</v>
      </c>
      <c r="D33" s="34" t="str">
        <f>Evaluación!G17</f>
        <v>~16 torns (cicle d'edició inclòs)</v>
      </c>
      <c r="E33" s="34" t="str">
        <f>Evaluación!I17</f>
        <v>parcial</v>
      </c>
      <c r="F33" s="34" t="str">
        <f>Evaluación!J17</f>
        <v>tres respuestas se han repetido</v>
      </c>
    </row>
    <row r="34" spans="1:16" ht="6" customHeight="1" x14ac:dyDescent="0.35"/>
    <row r="35" spans="1:16" ht="21.75" customHeight="1" x14ac:dyDescent="0.35">
      <c r="A35" s="53" t="s">
        <v>146</v>
      </c>
      <c r="B35" s="51"/>
      <c r="C35" s="51"/>
      <c r="D35" s="51"/>
      <c r="E35" s="51"/>
      <c r="F35" s="51"/>
      <c r="G35" s="51"/>
      <c r="H35" s="52"/>
    </row>
    <row r="36" spans="1:16" ht="31.5" customHeight="1" x14ac:dyDescent="0.35">
      <c r="A36" s="58" t="s">
        <v>147</v>
      </c>
      <c r="B36" s="51"/>
      <c r="C36" s="51"/>
      <c r="D36" s="51"/>
      <c r="E36" s="52"/>
      <c r="F36" s="59" t="str">
        <f>IF(COUNTIFS(Evaluación!C2:C17,"urgencia",Evaluación!I2:I17,"&lt;&gt;")+COUNTIFS(Evaluación!C2:C17,"urgència",Evaluación!I2:I17,"&lt;&gt;")+COUNTIFS(Evaluación!C2:C17,"revisión",Evaluación!I2:I17,"&lt;&gt;")+COUNTIFS(Evaluación!C2:C17,"revisió",Evaluación!I2:I17,"&lt;&gt;")=0,"-",ROUND((COUNTIFS(Evaluación!C2:C17,"urgencia",Evaluación!I2:I17,"sí")+COUNTIFS(Evaluación!C2:C17,"urgència",Evaluación!I2:I17,"sí")+COUNTIFS(Evaluación!C2:C17,"revisión",Evaluación!I2:I17,"sí")+COUNTIFS(Evaluación!C2:C17,"revisió",Evaluación!I2:I17,"sí"))/(COUNTIFS(Evaluación!C2:C17,"urgencia",Evaluación!I2:I17,"&lt;&gt;")+COUNTIFS(Evaluación!C2:C17,"urgència",Evaluación!I2:I17,"&lt;&gt;")+COUNTIFS(Evaluación!C2:C17,"revisión",Evaluación!I2:I17,"&lt;&gt;")+COUNTIFS(Evaluación!C2:C17,"revisió",Evaluación!I2:I17,"&lt;&gt;"))*100,1)&amp;"%")</f>
        <v>100%</v>
      </c>
      <c r="G36" s="51"/>
      <c r="H36" s="52"/>
    </row>
    <row r="37" spans="1:16" ht="31.5" customHeight="1" x14ac:dyDescent="0.35">
      <c r="A37" s="60" t="s">
        <v>148</v>
      </c>
      <c r="B37" s="51"/>
      <c r="C37" s="51"/>
      <c r="D37" s="51"/>
      <c r="E37" s="52"/>
      <c r="F37" s="61" t="str">
        <f>IF(COUNTIFS(Evaluación!C2:C17,"nuevo_síntoma",Evaluación!I2:I17,"&lt;&gt;")+COUNTIFS(Evaluación!C2:C17,"nou_símptoma",Evaluación!I2:I17,"&lt;&gt;")=0,"-",ROUND((COUNTIFS(Evaluación!C2:C17,"nuevo_síntoma",Evaluación!I2:I17,"sí")+COUNTIFS(Evaluación!C2:C17,"nou_símptoma",Evaluación!I2:I17,"sí"))/(COUNTIFS(Evaluación!C2:C17,"nuevo_síntoma",Evaluación!I2:I17,"&lt;&gt;")+COUNTIFS(Evaluación!C2:C17,"nou_símptoma",Evaluación!I2:I17,"&lt;&gt;"))*100,1)&amp;"%")</f>
        <v>40%</v>
      </c>
      <c r="G37" s="51"/>
      <c r="H37" s="52"/>
      <c r="M37" s="29" t="s">
        <v>149</v>
      </c>
      <c r="N37" s="29" t="s">
        <v>150</v>
      </c>
      <c r="O37" s="29" t="s">
        <v>151</v>
      </c>
      <c r="P37" s="29" t="s">
        <v>152</v>
      </c>
    </row>
    <row r="38" spans="1:16" ht="31.5" customHeight="1" x14ac:dyDescent="0.35">
      <c r="A38" s="62" t="s">
        <v>153</v>
      </c>
      <c r="B38" s="51"/>
      <c r="C38" s="51"/>
      <c r="D38" s="51"/>
      <c r="E38" s="52"/>
      <c r="F38" s="63" t="str">
        <f>IF(B5=0,"-",ROUND((COUNTIF(Evaluación!I2:I17,"sí")+COUNTIF(Evaluación!I2:I17,"parcial"))/B5*100,1)&amp;"%")</f>
        <v>87,5%</v>
      </c>
      <c r="G38" s="51"/>
      <c r="H38" s="52"/>
      <c r="M38" s="30" t="s">
        <v>154</v>
      </c>
      <c r="N38" s="31">
        <v>0.71899999999999997</v>
      </c>
      <c r="O38" s="31">
        <v>0.68799999999999994</v>
      </c>
      <c r="P38" s="31">
        <v>0.75</v>
      </c>
    </row>
    <row r="39" spans="1:16" ht="31.5" customHeight="1" x14ac:dyDescent="0.35">
      <c r="A39" s="55" t="s">
        <v>155</v>
      </c>
      <c r="B39" s="51"/>
      <c r="C39" s="51"/>
      <c r="D39" s="51"/>
      <c r="E39" s="52"/>
      <c r="F39" s="64">
        <f>COUNTIF(Evaluación!J2:J17,"&lt;&gt;")</f>
        <v>7</v>
      </c>
      <c r="G39" s="51"/>
      <c r="H39" s="52"/>
      <c r="M39" s="30" t="s">
        <v>156</v>
      </c>
      <c r="N39" s="31">
        <v>0.95099999999999996</v>
      </c>
      <c r="O39" s="31">
        <v>0.96099999999999997</v>
      </c>
      <c r="P39" s="31">
        <v>0.94299999999999995</v>
      </c>
    </row>
    <row r="40" spans="1:16" ht="15.75" customHeight="1" x14ac:dyDescent="0.35">
      <c r="M40" s="30" t="s">
        <v>157</v>
      </c>
      <c r="N40" s="31">
        <v>0.98499999999999999</v>
      </c>
      <c r="O40" s="32">
        <v>1</v>
      </c>
      <c r="P40" s="31">
        <v>0.97099999999999997</v>
      </c>
    </row>
    <row r="41" spans="1:16" ht="25.5" customHeight="1" x14ac:dyDescent="0.35">
      <c r="A41" s="56" t="s">
        <v>158</v>
      </c>
      <c r="B41" s="51"/>
      <c r="C41" s="51"/>
      <c r="D41" s="51"/>
      <c r="E41" s="51"/>
      <c r="F41" s="51"/>
      <c r="G41" s="51"/>
      <c r="H41" s="52"/>
    </row>
    <row r="42" spans="1:16" ht="36" customHeight="1" x14ac:dyDescent="0.35">
      <c r="A42" s="23" t="s">
        <v>159</v>
      </c>
      <c r="B42" s="23" t="s">
        <v>160</v>
      </c>
      <c r="C42" s="23" t="s">
        <v>161</v>
      </c>
      <c r="D42" s="23" t="s">
        <v>162</v>
      </c>
      <c r="E42" s="23" t="s">
        <v>163</v>
      </c>
      <c r="F42" s="23" t="s">
        <v>164</v>
      </c>
      <c r="G42" s="23" t="s">
        <v>165</v>
      </c>
      <c r="H42" s="23" t="s">
        <v>166</v>
      </c>
    </row>
    <row r="43" spans="1:16" ht="42" customHeight="1" x14ac:dyDescent="0.35">
      <c r="A43" s="35" t="s">
        <v>154</v>
      </c>
      <c r="B43" s="36" t="s">
        <v>167</v>
      </c>
      <c r="C43" s="37" t="s">
        <v>168</v>
      </c>
      <c r="D43" s="38" t="str">
        <f>IF(COUNTIF(Evaluación!I2:I17,"&lt;&gt;")=0,"-",ROUND((COUNTIF(Evaluación!I2:I17,"sí")*1+COUNTIF(Evaluación!I2:I17,"parcial")*0.5)/COUNTIF(Evaluación!I2:I17,"&lt;&gt;")*100,1)&amp;"%")</f>
        <v>71,9%</v>
      </c>
      <c r="E43" s="39" t="str">
        <f>IF(COUNTIFS(Evaluación!B2:B17,"castellano",Evaluación!I2:I17,"&lt;&gt;")=0,"-",ROUND((COUNTIFS(Evaluación!B2:B17,"castellano",Evaluación!I2:I17,"sí")*1+COUNTIFS(Evaluación!B2:B17,"castellano",Evaluación!I2:I17,"parcial")*0.5)/COUNTIFS(Evaluación!B2:B17,"castellano",Evaluación!I2:I17,"&lt;&gt;")*100,1)&amp;"%")</f>
        <v>68,8%</v>
      </c>
      <c r="F43" s="39" t="str">
        <f>IF(COUNTIFS(Evaluación!B2:B17,"català",Evaluación!I2:I17,"&lt;&gt;")=0,"-",ROUND((COUNTIFS(Evaluación!B2:B17,"català",Evaluación!I2:I17,"sí")*1+COUNTIFS(Evaluación!B2:B17,"català",Evaluación!I2:I17,"parcial")*0.5)/COUNTIFS(Evaluación!B2:B17,"català",Evaluación!I2:I17,"&lt;&gt;")*100,1)&amp;"%")</f>
        <v>75%</v>
      </c>
      <c r="G43" s="37" t="s">
        <v>169</v>
      </c>
      <c r="H43" s="37" t="s">
        <v>169</v>
      </c>
    </row>
    <row r="44" spans="1:16" ht="42" customHeight="1" x14ac:dyDescent="0.35">
      <c r="A44" s="40" t="s">
        <v>156</v>
      </c>
      <c r="B44" s="41" t="s">
        <v>170</v>
      </c>
      <c r="C44" s="42" t="s">
        <v>171</v>
      </c>
      <c r="D44" s="43" t="str">
        <f>IF(SUMIF(Evaluación!K2:K17,"&lt;&gt;",Evaluación!K2:K17)=0,"-",ROUND(SUMIF(Evaluación!L2:L17,"&lt;&gt;",Evaluación!L2:L17)/SUMIF(Evaluación!K2:K17,"&lt;&gt;",Evaluación!K2:K17)*100,1)&amp;"%")</f>
        <v>95,1%</v>
      </c>
      <c r="E44" s="44" t="str">
        <f>IF(SUMIFS(Evaluación!K2:K17,Evaluación!B2:B17,"castellano")=0,"-",ROUND(SUMIFS(Evaluación!L2:L17,Evaluación!B2:B17,"castellano")/SUMIFS(Evaluación!K2:K17,Evaluación!B2:B17,"castellano")*100,1)&amp;"%")</f>
        <v>96,1%</v>
      </c>
      <c r="F44" s="44" t="str">
        <f>IF(SUMIFS(Evaluación!K2:K17,Evaluación!B2:B17,"català")=0,"-",ROUND(SUMIFS(Evaluación!L2:L17,Evaluación!B2:B17,"català")/SUMIFS(Evaluación!K2:K17,Evaluación!B2:B17,"català")*100,1)&amp;"%")</f>
        <v>94,3%</v>
      </c>
      <c r="G44" s="42" t="str">
        <f>IFERROR(TEXT(MIN(IF(Evaluación!K2:K17&lt;&gt;"",Evaluación!L2:L17/Evaluación!K2:K17*100,999))*1,"0.0")&amp;"%","-")</f>
        <v>-</v>
      </c>
      <c r="H44" s="42" t="str">
        <f>IFERROR(TEXT(MAX(IF(Evaluación!K2:K17&lt;&gt;"",Evaluación!L2:L17/Evaluación!K2:K17*100,0))*1,"0.0")&amp;"%","-")</f>
        <v>-</v>
      </c>
    </row>
    <row r="45" spans="1:16" ht="42" customHeight="1" x14ac:dyDescent="0.35">
      <c r="A45" s="45" t="s">
        <v>157</v>
      </c>
      <c r="B45" s="46" t="s">
        <v>172</v>
      </c>
      <c r="C45" s="47" t="s">
        <v>173</v>
      </c>
      <c r="D45" s="48" t="str">
        <f>IF(SUMIF(Evaluación!M2:M17,"&lt;&gt;",Evaluación!M2:M17)=0,"-",ROUND(SUMIF(Evaluación!N2:N17,"&lt;&gt;",Evaluación!N2:N17)/SUMIF(Evaluación!M2:M17,"&lt;&gt;",Evaluación!M2:M17)*100,1)&amp;"%")</f>
        <v>98,5%</v>
      </c>
      <c r="E45" s="49" t="str">
        <f>IF(SUMIFS(Evaluación!M2:M17,Evaluación!B2:B17,"castellano")=0,"-",ROUND(SUMIFS(Evaluación!N2:N17,Evaluación!B2:B17,"castellano")/SUMIFS(Evaluación!M2:M17,Evaluación!B2:B17,"castellano")*100,1)&amp;"%")</f>
        <v>100%</v>
      </c>
      <c r="F45" s="49" t="str">
        <f>IF(SUMIFS(Evaluación!M2:M17,Evaluación!B2:B17,"català")=0,"-",ROUND(SUMIFS(Evaluación!N2:N17,Evaluación!B2:B17,"català")/SUMIFS(Evaluación!M2:M17,Evaluación!B2:B17,"català")*100,1)&amp;"%")</f>
        <v>97,1%</v>
      </c>
      <c r="G45" s="47" t="str">
        <f>IFERROR(TEXT(MIN(IF(Evaluación!M2:M17&lt;&gt;"",Evaluación!N2:N17/Evaluación!M2:M17*100,999))*1,"0.0")&amp;"%","-")</f>
        <v>-</v>
      </c>
      <c r="H45" s="47" t="str">
        <f>IFERROR(TEXT(MAX(IF(Evaluación!M2:M17&lt;&gt;"",Evaluación!N2:N17/Evaluación!M2:M17*100,0))*1,"0.0")&amp;"%","-")</f>
        <v>-</v>
      </c>
    </row>
    <row r="46" spans="1:16" ht="49.5" customHeight="1" x14ac:dyDescent="0.35">
      <c r="A46" s="57"/>
      <c r="B46" s="51"/>
      <c r="C46" s="51"/>
      <c r="D46" s="51"/>
      <c r="E46" s="51"/>
      <c r="F46" s="51"/>
      <c r="G46" s="51"/>
      <c r="H46" s="52"/>
    </row>
    <row r="47" spans="1:16" ht="15.75" customHeight="1" x14ac:dyDescent="0.35"/>
    <row r="48" spans="1:16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7">
    <mergeCell ref="A20:H20"/>
    <mergeCell ref="A35:H35"/>
    <mergeCell ref="A39:E39"/>
    <mergeCell ref="A41:H41"/>
    <mergeCell ref="A46:H46"/>
    <mergeCell ref="A36:E36"/>
    <mergeCell ref="F36:H36"/>
    <mergeCell ref="A37:E37"/>
    <mergeCell ref="F37:H37"/>
    <mergeCell ref="A38:E38"/>
    <mergeCell ref="F38:H38"/>
    <mergeCell ref="F39:H39"/>
    <mergeCell ref="A1:H1"/>
    <mergeCell ref="A3:D3"/>
    <mergeCell ref="E3:H3"/>
    <mergeCell ref="A8:H8"/>
    <mergeCell ref="A13:H13"/>
  </mergeCells>
  <pageMargins left="0.75" right="0.75" top="1" bottom="1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Evaluación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Ione Valentina</cp:lastModifiedBy>
  <dcterms:created xsi:type="dcterms:W3CDTF">2026-05-19T18:12:02Z</dcterms:created>
  <dcterms:modified xsi:type="dcterms:W3CDTF">2026-05-29T17:29:10Z</dcterms:modified>
</cp:coreProperties>
</file>